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endor Information" sheetId="1" state="visible" r:id="rId3"/>
    <sheet name="Questionnaire" sheetId="2" state="visible" r:id="rId4"/>
    <sheet name="Scoring &amp; RAG Output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<sst xmlns="http://schemas.openxmlformats.org/spreadsheetml/2006/main" count="94" uniqueCount="93">
  <si>
    <t xml:space="preserve">VENDOR RISK ASSESSMENT — DataFlow Qatar</t>
  </si>
  <si>
    <t xml:space="preserve">Complete all sections. Score is calculated automatically. RAG output appears on the Scoring tab.</t>
  </si>
  <si>
    <t xml:space="preserve">VENDOR DETAILS</t>
  </si>
  <si>
    <t xml:space="preserve">Vendor Name</t>
  </si>
  <si>
    <t xml:space="preserve">Vendor Type / Service</t>
  </si>
  <si>
    <t xml:space="preserve">Tier Classification</t>
  </si>
  <si>
    <t xml:space="preserve">Primary Contact</t>
  </si>
  <si>
    <t xml:space="preserve">Assessment Date</t>
  </si>
  <si>
    <t xml:space="preserve">Assessed By</t>
  </si>
  <si>
    <t xml:space="preserve">Review Due Date</t>
  </si>
  <si>
    <t xml:space="preserve">Previous Assessment Date</t>
  </si>
  <si>
    <t xml:space="preserve">TIER CLASSIFICATION GUIDE</t>
  </si>
  <si>
    <t xml:space="preserve">Critical</t>
  </si>
  <si>
    <t xml:space="preserve">Processes personal data AND critical business data; regulatory obligations apply (e.g., PDPPL). E.g.: Cloud provider, payroll.</t>
  </si>
  <si>
    <t xml:space="preserve">High</t>
  </si>
  <si>
    <t xml:space="preserve">Access to confidential data or critical systems. E.g.: IT managed services, CRM provider.</t>
  </si>
  <si>
    <t xml:space="preserve">Medium</t>
  </si>
  <si>
    <t xml:space="preserve">Limited data access; no personal data. E.g.: Marketing tools, collaboration software.</t>
  </si>
  <si>
    <t xml:space="preserve">Low</t>
  </si>
  <si>
    <t xml:space="preserve">No data access or physical-only engagement. E.g.: Facilities, cleaning.</t>
  </si>
  <si>
    <t xml:space="preserve">VENDOR RISK QUESTIONNAIRE</t>
  </si>
  <si>
    <t xml:space="preserve">For each question: select the response from the dropdown, add notes, then view your score on the Scoring tab.</t>
  </si>
  <si>
    <t xml:space="preserve">#</t>
  </si>
  <si>
    <t xml:space="preserve">Question</t>
  </si>
  <si>
    <t xml:space="preserve">Weight</t>
  </si>
  <si>
    <t xml:space="preserve">Response (dropdown)</t>
  </si>
  <si>
    <t xml:space="preserve">Notes / Evidence</t>
  </si>
  <si>
    <t xml:space="preserve">Score
(auto)</t>
  </si>
  <si>
    <t xml:space="preserve">Max
Score</t>
  </si>
  <si>
    <t xml:space="preserve">1. Governance &amp; Policy</t>
  </si>
  <si>
    <t xml:space="preserve">Does the vendor have a documented Information Security Policy?</t>
  </si>
  <si>
    <t xml:space="preserve">Is there a named CISO or equivalent Information Security lead?</t>
  </si>
  <si>
    <t xml:space="preserve">Does the vendor hold ISO 27001, SOC 2, or equivalent certification?</t>
  </si>
  <si>
    <t xml:space="preserve">Is the vendor's certification current and verified?</t>
  </si>
  <si>
    <t xml:space="preserve">Has the vendor undergone a third-party security audit in the past 12 months?</t>
  </si>
  <si>
    <t xml:space="preserve">2. Data Protection &amp; Privacy</t>
  </si>
  <si>
    <t xml:space="preserve">Does the vendor process personal data on our behalf?</t>
  </si>
  <si>
    <t xml:space="preserve">Is the vendor willing to sign a Data Processing Agreement (DPA)?</t>
  </si>
  <si>
    <t xml:space="preserve">Does the vendor have a Privacy Policy and data subject rights process?</t>
  </si>
  <si>
    <t xml:space="preserve">Does the vendor use sub-processors? If yes, are they disclosed?</t>
  </si>
  <si>
    <t xml:space="preserve">Does the vendor store data outside Qatar? If yes, are transfers documented?</t>
  </si>
  <si>
    <t xml:space="preserve">3. Access Control</t>
  </si>
  <si>
    <t xml:space="preserve">Does the vendor enforce MFA for all system access?</t>
  </si>
  <si>
    <t xml:space="preserve">Does the vendor enforce least privilege and role-based access?</t>
  </si>
  <si>
    <t xml:space="preserve">Does the vendor conduct periodic access reviews (at least annually)?</t>
  </si>
  <si>
    <t xml:space="preserve">Are privileged accounts subject to enhanced controls (PAM / monitoring)?</t>
  </si>
  <si>
    <t xml:space="preserve">4. Vulnerability Management</t>
  </si>
  <si>
    <t xml:space="preserve">Does the vendor have a documented vulnerability management programme?</t>
  </si>
  <si>
    <t xml:space="preserve">How frequently are critical patches applied?</t>
  </si>
  <si>
    <t xml:space="preserve">Does the vendor conduct regular penetration testing?</t>
  </si>
  <si>
    <t xml:space="preserve">Does the vendor have a vulnerability disclosure policy?</t>
  </si>
  <si>
    <t xml:space="preserve">5. Incident Response</t>
  </si>
  <si>
    <t xml:space="preserve">Does the vendor have a documented Incident Response Plan?</t>
  </si>
  <si>
    <t xml:space="preserve">What is the vendor's breach notification SLA to DataFlow Qatar?</t>
  </si>
  <si>
    <t xml:space="preserve">Has the vendor experienced a security incident in the last 2 years?</t>
  </si>
  <si>
    <t xml:space="preserve">6. Business Continuity</t>
  </si>
  <si>
    <t xml:space="preserve">Does the vendor have a documented BCP/DR plan?</t>
  </si>
  <si>
    <t xml:space="preserve">What is the vendor's guaranteed service availability (uptime)?</t>
  </si>
  <si>
    <t xml:space="preserve">Does the vendor have offsite / cloud backups with tested restore?</t>
  </si>
  <si>
    <t xml:space="preserve">7. Physical Security</t>
  </si>
  <si>
    <t xml:space="preserve">Does the vendor have physical security controls for data processing facilities?</t>
  </si>
  <si>
    <t xml:space="preserve">Is physical access to servers/data centres logged and monitored?</t>
  </si>
  <si>
    <t xml:space="preserve">8. Legal &amp; Contractual</t>
  </si>
  <si>
    <t xml:space="preserve">Is the vendor subject to any regulatory sanctions or legal actions?</t>
  </si>
  <si>
    <t xml:space="preserve">Does the vendor agree to right-to-audit clauses?</t>
  </si>
  <si>
    <t xml:space="preserve">Does the vendor carry cyber liability insurance?</t>
  </si>
  <si>
    <t xml:space="preserve">TOTAL SCORE</t>
  </si>
  <si>
    <t xml:space="preserve">VENDOR RISK SCORE &amp; RAG OUTPUT</t>
  </si>
  <si>
    <t xml:space="preserve">Total Score Achieved</t>
  </si>
  <si>
    <t xml:space="preserve">Maximum Possible Score</t>
  </si>
  <si>
    <t xml:space="preserve">Score Percentage</t>
  </si>
  <si>
    <t xml:space="preserve">RAG Rating</t>
  </si>
  <si>
    <t xml:space="preserve">Risk Tier</t>
  </si>
  <si>
    <t xml:space="preserve">SCORING THRESHOLDS</t>
  </si>
  <si>
    <t xml:space="preserve">Score Range</t>
  </si>
  <si>
    <t xml:space="preserve">RAG</t>
  </si>
  <si>
    <t xml:space="preserve">Risk Level</t>
  </si>
  <si>
    <t xml:space="preserve">Required Action</t>
  </si>
  <si>
    <t xml:space="preserve">≥ 75%</t>
  </si>
  <si>
    <t xml:space="preserve">GREEN</t>
  </si>
  <si>
    <t xml:space="preserve">Low Risk</t>
  </si>
  <si>
    <t xml:space="preserve">Proceed with standard controls</t>
  </si>
  <si>
    <t xml:space="preserve">50–74%</t>
  </si>
  <si>
    <t xml:space="preserve">AMBER</t>
  </si>
  <si>
    <t xml:space="preserve">Medium Risk</t>
  </si>
  <si>
    <t xml:space="preserve">Proceed with enhanced monitoring; address gaps within 90 days</t>
  </si>
  <si>
    <t xml:space="preserve">25–49%</t>
  </si>
  <si>
    <t xml:space="preserve">RED</t>
  </si>
  <si>
    <t xml:space="preserve">High Risk</t>
  </si>
  <si>
    <t xml:space="preserve">Senior approval required; remediation plan mandatory before onboarding</t>
  </si>
  <si>
    <t xml:space="preserve">&lt; 25%</t>
  </si>
  <si>
    <t xml:space="preserve">Critical Risk</t>
  </si>
  <si>
    <t xml:space="preserve">Do not onboard until critical gaps are remediated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</si>
</sst>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sz val="9"/>
      <color rgb="FFD6EAF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1A3A5C"/>
      <name val="Arial"/>
      <family val="0"/>
      <charset val="1"/>
    </font>
    <font>
      <sz val="10"/>
      <color rgb="FF1C2833"/>
      <name val="Arial"/>
      <family val="0"/>
      <charset val="1"/>
    </font>
    <font>
      <b val="true"/>
      <sz val="10"/>
      <color rgb="FF1C2833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1F618D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2"/>
      <color rgb="FF1C2833"/>
      <name val="Arial"/>
      <family val="0"/>
      <charset val="1"/>
    </font>
    <font>
      <b val="true"/>
      <sz val="10"/>
      <color rgb="FF27AE60"/>
      <name val="Arial"/>
      <family val="0"/>
      <charset val="1"/>
    </font>
    <font>
      <b val="true"/>
      <sz val="10"/>
      <color rgb="FFF39C12"/>
      <name val="Arial"/>
      <family val="0"/>
      <charset val="1"/>
    </font>
    <font>
      <b val="true"/>
      <sz val="10"/>
      <color rgb="FFE74C3C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1A3A5C"/>
        <bgColor rgb="FF1C2833"/>
      </patternFill>
    </fill>
    <fill>
      <patternFill patternType="solid">
        <fgColor rgb="FF1F618D"/>
        <bgColor rgb="FF2980B9"/>
      </patternFill>
    </fill>
    <fill>
      <patternFill patternType="solid">
        <fgColor rgb="FFD6EAF8"/>
        <bgColor rgb="FFD5F5E3"/>
      </patternFill>
    </fill>
    <fill>
      <patternFill patternType="solid">
        <fgColor rgb="FFFFFFFF"/>
        <bgColor rgb="FFFDEBD0"/>
      </patternFill>
    </fill>
    <fill>
      <patternFill patternType="solid">
        <fgColor rgb="FFE74C3C"/>
        <bgColor rgb="FFFF8080"/>
      </patternFill>
    </fill>
    <fill>
      <patternFill patternType="solid">
        <fgColor rgb="FFF39C12"/>
        <bgColor rgb="FFFFCC00"/>
      </patternFill>
    </fill>
    <fill>
      <patternFill patternType="solid">
        <fgColor rgb="FF2980B9"/>
        <bgColor rgb="FF1F618D"/>
      </patternFill>
    </fill>
    <fill>
      <patternFill patternType="solid">
        <fgColor rgb="FFBDC3C7"/>
        <bgColor rgb="FFCCCCFF"/>
      </patternFill>
    </fill>
    <fill>
      <patternFill patternType="solid">
        <fgColor rgb="FFD5F5E3"/>
        <bgColor rgb="FFD6EAF8"/>
      </patternFill>
    </fill>
    <fill>
      <patternFill patternType="solid">
        <fgColor rgb="FFFDEBD0"/>
        <bgColor rgb="FFFADBD8"/>
      </patternFill>
    </fill>
    <fill>
      <patternFill patternType="solid">
        <fgColor rgb="FFFADBD8"/>
        <bgColor rgb="FFFDEBD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1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1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980B9"/>
      <rgbColor rgb="FFBDC3C7"/>
      <rgbColor rgb="FF808080"/>
      <rgbColor rgb="FF9999FF"/>
      <rgbColor rgb="FF993366"/>
      <rgbColor rgb="FFFDEBD0"/>
      <rgbColor rgb="FFD6EAF8"/>
      <rgbColor rgb="FF660066"/>
      <rgbColor rgb="FFFF8080"/>
      <rgbColor rgb="FF1F618D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5F5E3"/>
      <rgbColor rgb="FFFFFF99"/>
      <rgbColor rgb="FF99CCFF"/>
      <rgbColor rgb="FFFF99CC"/>
      <rgbColor rgb="FFCC99FF"/>
      <rgbColor rgb="FFFADBD8"/>
      <rgbColor rgb="FF3366FF"/>
      <rgbColor rgb="FF33CCCC"/>
      <rgbColor rgb="FF99CC00"/>
      <rgbColor rgb="FFFFCC00"/>
      <rgbColor rgb="FFF39C12"/>
      <rgbColor rgb="FFE74C3C"/>
      <rgbColor rgb="FF666699"/>
      <rgbColor rgb="FF969696"/>
      <rgbColor rgb="FF1A3A5C"/>
      <rgbColor rgb="FF27AE60"/>
      <rgbColor rgb="FF003300"/>
      <rgbColor rgb="FF333300"/>
      <rgbColor rgb="FF993300"/>
      <rgbColor rgb="FF993366"/>
      <rgbColor rgb="FF333399"/>
      <rgbColor rgb="FF1C28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3A5C"/>
    <pageSetUpPr fitToPage="false"/>
  </sheetPr>
  <dimension ref="A1:F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60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</row>
    <row r="4" customFormat="false" ht="21.75" hidden="false" customHeight="true" outlineLevel="0" collapsed="false">
      <c r="A4" s="3" t="s">
        <v>2</v>
      </c>
      <c r="B4" s="3"/>
      <c r="C4" s="3"/>
      <c r="D4" s="3"/>
      <c r="E4" s="3"/>
      <c r="F4" s="3"/>
    </row>
    <row r="5" customFormat="false" ht="21.75" hidden="false" customHeight="true" outlineLevel="0" collapsed="false">
      <c r="A5" s="4" t="s">
        <v>3</v>
      </c>
      <c r="B5" s="5"/>
      <c r="C5" s="5"/>
      <c r="D5" s="5"/>
      <c r="E5" s="5"/>
      <c r="F5" s="5"/>
    </row>
    <row r="6" customFormat="false" ht="21.75" hidden="false" customHeight="true" outlineLevel="0" collapsed="false">
      <c r="A6" s="4" t="s">
        <v>4</v>
      </c>
      <c r="B6" s="5"/>
      <c r="C6" s="5"/>
      <c r="D6" s="5"/>
      <c r="E6" s="5"/>
      <c r="F6" s="5"/>
    </row>
    <row r="7" customFormat="false" ht="21.75" hidden="false" customHeight="true" outlineLevel="0" collapsed="false">
      <c r="A7" s="4" t="s">
        <v>5</v>
      </c>
      <c r="B7" s="5"/>
      <c r="C7" s="5"/>
      <c r="D7" s="5"/>
      <c r="E7" s="5"/>
      <c r="F7" s="5"/>
    </row>
    <row r="8" customFormat="false" ht="21.75" hidden="false" customHeight="true" outlineLevel="0" collapsed="false">
      <c r="A8" s="4" t="s">
        <v>6</v>
      </c>
      <c r="B8" s="5"/>
      <c r="C8" s="5"/>
      <c r="D8" s="5"/>
      <c r="E8" s="5"/>
      <c r="F8" s="5"/>
    </row>
    <row r="9" customFormat="false" ht="21.75" hidden="false" customHeight="true" outlineLevel="0" collapsed="false">
      <c r="A9" s="4" t="s">
        <v>7</v>
      </c>
      <c r="B9" s="5"/>
      <c r="C9" s="5"/>
      <c r="D9" s="5"/>
      <c r="E9" s="5"/>
      <c r="F9" s="5"/>
    </row>
    <row r="10" customFormat="false" ht="21.75" hidden="false" customHeight="true" outlineLevel="0" collapsed="false">
      <c r="A10" s="4" t="s">
        <v>8</v>
      </c>
      <c r="B10" s="5"/>
      <c r="C10" s="5"/>
      <c r="D10" s="5"/>
      <c r="E10" s="5"/>
      <c r="F10" s="5"/>
    </row>
    <row r="11" customFormat="false" ht="21.75" hidden="false" customHeight="true" outlineLevel="0" collapsed="false">
      <c r="A11" s="4" t="s">
        <v>9</v>
      </c>
      <c r="B11" s="5"/>
      <c r="C11" s="5"/>
      <c r="D11" s="5"/>
      <c r="E11" s="5"/>
      <c r="F11" s="5"/>
    </row>
    <row r="12" customFormat="false" ht="21.75" hidden="false" customHeight="true" outlineLevel="0" collapsed="false">
      <c r="A12" s="4" t="s">
        <v>10</v>
      </c>
      <c r="B12" s="5"/>
      <c r="C12" s="5"/>
      <c r="D12" s="5"/>
      <c r="E12" s="5"/>
      <c r="F12" s="5"/>
    </row>
    <row r="14" customFormat="false" ht="15" hidden="false" customHeight="false" outlineLevel="0" collapsed="false">
      <c r="A14" s="3" t="s">
        <v>11</v>
      </c>
      <c r="B14" s="3"/>
      <c r="C14" s="3"/>
      <c r="D14" s="3"/>
      <c r="E14" s="3"/>
      <c r="F14" s="3"/>
    </row>
    <row r="15" customFormat="false" ht="27.75" hidden="false" customHeight="true" outlineLevel="0" collapsed="false">
      <c r="A15" s="6" t="s">
        <v>12</v>
      </c>
      <c r="B15" s="7" t="s">
        <v>13</v>
      </c>
      <c r="C15" s="7"/>
      <c r="D15" s="7"/>
      <c r="E15" s="7"/>
      <c r="F15" s="7"/>
    </row>
    <row r="16" customFormat="false" ht="27.75" hidden="false" customHeight="true" outlineLevel="0" collapsed="false">
      <c r="A16" s="8" t="s">
        <v>14</v>
      </c>
      <c r="B16" s="7" t="s">
        <v>15</v>
      </c>
      <c r="C16" s="7"/>
      <c r="D16" s="7"/>
      <c r="E16" s="7"/>
      <c r="F16" s="7"/>
    </row>
    <row r="17" customFormat="false" ht="27.75" hidden="false" customHeight="true" outlineLevel="0" collapsed="false">
      <c r="A17" s="9" t="s">
        <v>16</v>
      </c>
      <c r="B17" s="7" t="s">
        <v>17</v>
      </c>
      <c r="C17" s="7"/>
      <c r="D17" s="7"/>
      <c r="E17" s="7"/>
      <c r="F17" s="7"/>
    </row>
    <row r="18" customFormat="false" ht="27.75" hidden="false" customHeight="true" outlineLevel="0" collapsed="false">
      <c r="A18" s="10" t="s">
        <v>18</v>
      </c>
      <c r="B18" s="7" t="s">
        <v>19</v>
      </c>
      <c r="C18" s="7"/>
      <c r="D18" s="7"/>
      <c r="E18" s="7"/>
      <c r="F18" s="7"/>
    </row>
  </sheetData>
  <mergeCells count="16">
    <mergeCell ref="A1:F1"/>
    <mergeCell ref="A2:F2"/>
    <mergeCell ref="A4:F4"/>
    <mergeCell ref="B5:F5"/>
    <mergeCell ref="B6:F6"/>
    <mergeCell ref="B7:F7"/>
    <mergeCell ref="B8:F8"/>
    <mergeCell ref="B9:F9"/>
    <mergeCell ref="B10:F10"/>
    <mergeCell ref="B11:F11"/>
    <mergeCell ref="B12:F12"/>
    <mergeCell ref="A14:F14"/>
    <mergeCell ref="B15:F15"/>
    <mergeCell ref="B16:F16"/>
    <mergeCell ref="B17:F17"/>
    <mergeCell ref="B18:F18"/>
  </mergeCells>
  <dataValidations count="1">
    <dataValidation allowBlank="false" errorStyle="stop" operator="between" showDropDown="false" showErrorMessage="false" showInputMessage="false" sqref="B7" type="list">
      <formula1>"Critical,High,Medium,Low"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980B9"/>
    <pageSetUpPr fitToPage="false"/>
  </sheetPr>
  <dimension ref="A1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3" min="3" style="0" width="14"/>
    <col collapsed="false" customWidth="true" hidden="false" outlineLevel="0" max="4" min="4" style="0" width="22"/>
    <col collapsed="false" customWidth="true" hidden="false" outlineLevel="0" max="5" min="5" style="0" width="40"/>
    <col collapsed="false" customWidth="true" hidden="false" outlineLevel="0" max="6" min="6" style="0" width="8"/>
    <col collapsed="false" customWidth="true" hidden="false" outlineLevel="0" max="7" min="7" style="0" width="14"/>
  </cols>
  <sheetData>
    <row r="1" customFormat="false" ht="27.75" hidden="false" customHeight="true" outlineLevel="0" collapsed="false">
      <c r="A1" s="1" t="s">
        <v>20</v>
      </c>
      <c r="B1" s="1"/>
      <c r="C1" s="1"/>
      <c r="D1" s="1"/>
      <c r="E1" s="1"/>
      <c r="F1" s="1"/>
      <c r="G1" s="1"/>
    </row>
    <row r="2" customFormat="false" ht="18" hidden="false" customHeight="true" outlineLevel="0" collapsed="false">
      <c r="A2" s="2" t="s">
        <v>21</v>
      </c>
      <c r="B2" s="2"/>
      <c r="C2" s="2"/>
      <c r="D2" s="2"/>
      <c r="E2" s="2"/>
      <c r="F2" s="2"/>
      <c r="G2" s="2"/>
    </row>
    <row r="3" customFormat="false" ht="36" hidden="false" customHeight="true" outlineLevel="0" collapsed="false">
      <c r="A3" s="11" t="s">
        <v>22</v>
      </c>
      <c r="B3" s="11" t="s">
        <v>23</v>
      </c>
      <c r="C3" s="11" t="s">
        <v>24</v>
      </c>
      <c r="D3" s="11" t="s">
        <v>25</v>
      </c>
      <c r="E3" s="11" t="s">
        <v>26</v>
      </c>
      <c r="F3" s="11" t="s">
        <v>27</v>
      </c>
      <c r="G3" s="11" t="s">
        <v>28</v>
      </c>
    </row>
    <row r="4" customFormat="false" ht="21.75" hidden="false" customHeight="true" outlineLevel="0" collapsed="false">
      <c r="A4" s="3" t="s">
        <v>29</v>
      </c>
      <c r="B4" s="3"/>
      <c r="C4" s="3"/>
      <c r="D4" s="3"/>
      <c r="E4" s="3"/>
      <c r="F4" s="3"/>
      <c r="G4" s="3"/>
    </row>
    <row r="5" customFormat="false" ht="30" hidden="false" customHeight="true" outlineLevel="0" collapsed="false">
      <c r="A5" s="12" t="n">
        <v>1</v>
      </c>
      <c r="B5" s="7" t="s">
        <v>30</v>
      </c>
      <c r="C5" s="13" t="n">
        <v>3</v>
      </c>
      <c r="D5" s="14"/>
      <c r="E5" s="7"/>
      <c r="F5" s="15" t="n">
        <f aca="false">IF(D5="Yes",3,IF(D5="Partial",2,IF(D5="No",0,0)))</f>
        <v>0</v>
      </c>
      <c r="G5" s="13" t="n">
        <v>3</v>
      </c>
    </row>
    <row r="6" customFormat="false" ht="30" hidden="false" customHeight="true" outlineLevel="0" collapsed="false">
      <c r="A6" s="12" t="n">
        <v>2</v>
      </c>
      <c r="B6" s="7" t="s">
        <v>31</v>
      </c>
      <c r="C6" s="13" t="n">
        <v>2</v>
      </c>
      <c r="D6" s="14"/>
      <c r="E6" s="7"/>
      <c r="F6" s="15" t="n">
        <f aca="false">IF(D6="Yes",2,IF(D6="No",0,0))</f>
        <v>0</v>
      </c>
      <c r="G6" s="13" t="n">
        <v>2</v>
      </c>
    </row>
    <row r="7" customFormat="false" ht="30" hidden="false" customHeight="true" outlineLevel="0" collapsed="false">
      <c r="A7" s="12" t="n">
        <v>3</v>
      </c>
      <c r="B7" s="7" t="s">
        <v>32</v>
      </c>
      <c r="C7" s="13" t="n">
        <v>5</v>
      </c>
      <c r="D7" s="14"/>
      <c r="E7" s="7"/>
      <c r="F7" s="15" t="n">
        <f aca="false">IF(D7="ISO 27001",5,IF(D7="SOC 2 Type II",5,IF(D7="SOC 2 Type I",3,IF(D7="Other",2,IF(D7="None",0,0)))))</f>
        <v>0</v>
      </c>
      <c r="G7" s="13" t="n">
        <v>5</v>
      </c>
    </row>
    <row r="8" customFormat="false" ht="30" hidden="false" customHeight="true" outlineLevel="0" collapsed="false">
      <c r="A8" s="12" t="n">
        <v>4</v>
      </c>
      <c r="B8" s="7" t="s">
        <v>33</v>
      </c>
      <c r="C8" s="13" t="n">
        <v>3</v>
      </c>
      <c r="D8" s="14"/>
      <c r="E8" s="7"/>
      <c r="F8" s="15" t="n">
        <f aca="false">IF(D8="Yes — certificate provided",3,IF(D8="Yes — self-attested",1,IF(D8="No",0,IF(D8="N/A",3,0))))</f>
        <v>0</v>
      </c>
      <c r="G8" s="13" t="n">
        <v>3</v>
      </c>
    </row>
    <row r="9" customFormat="false" ht="30" hidden="false" customHeight="true" outlineLevel="0" collapsed="false">
      <c r="A9" s="12" t="n">
        <v>5</v>
      </c>
      <c r="B9" s="7" t="s">
        <v>34</v>
      </c>
      <c r="C9" s="13" t="n">
        <v>3</v>
      </c>
      <c r="D9" s="14"/>
      <c r="E9" s="7"/>
      <c r="F9" s="15" t="n">
        <f aca="false">IF(D9="Yes",3,IF(D9="In Progress",1,IF(D9="No",0,0)))</f>
        <v>0</v>
      </c>
      <c r="G9" s="13" t="n">
        <v>3</v>
      </c>
    </row>
    <row r="10" customFormat="false" ht="21.75" hidden="false" customHeight="true" outlineLevel="0" collapsed="false">
      <c r="A10" s="3" t="s">
        <v>35</v>
      </c>
      <c r="B10" s="3"/>
      <c r="C10" s="3"/>
      <c r="D10" s="3"/>
      <c r="E10" s="3"/>
      <c r="F10" s="3"/>
      <c r="G10" s="3"/>
    </row>
    <row r="11" customFormat="false" ht="30" hidden="false" customHeight="true" outlineLevel="0" collapsed="false">
      <c r="A11" s="12" t="n">
        <v>6</v>
      </c>
      <c r="B11" s="7" t="s">
        <v>36</v>
      </c>
      <c r="C11" s="13" t="n">
        <v>3</v>
      </c>
      <c r="D11" s="14"/>
      <c r="E11" s="7"/>
      <c r="F11" s="15" t="n">
        <f aca="false">IF(D11="Yes",0,IF(D11="No",3,0))</f>
        <v>0</v>
      </c>
      <c r="G11" s="13" t="n">
        <v>3</v>
      </c>
    </row>
    <row r="12" customFormat="false" ht="30" hidden="false" customHeight="true" outlineLevel="0" collapsed="false">
      <c r="A12" s="12" t="n">
        <v>7</v>
      </c>
      <c r="B12" s="7" t="s">
        <v>37</v>
      </c>
      <c r="C12" s="13" t="n">
        <v>5</v>
      </c>
      <c r="D12" s="14"/>
      <c r="E12" s="7"/>
      <c r="F12" s="15" t="n">
        <f aca="false">IF(D12="Yes — signed",5,IF(D12="Yes — in discussion",3,IF(D12="No",0,IF(D12="N/A",5,0))))</f>
        <v>0</v>
      </c>
      <c r="G12" s="13" t="n">
        <v>5</v>
      </c>
    </row>
    <row r="13" customFormat="false" ht="30" hidden="false" customHeight="true" outlineLevel="0" collapsed="false">
      <c r="A13" s="12" t="n">
        <v>8</v>
      </c>
      <c r="B13" s="7" t="s">
        <v>38</v>
      </c>
      <c r="C13" s="13" t="n">
        <v>3</v>
      </c>
      <c r="D13" s="14"/>
      <c r="E13" s="7"/>
      <c r="F13" s="15" t="n">
        <f aca="false">IF(D13="Yes",3,IF(D13="Partial",1,IF(D13="No",0,0)))</f>
        <v>0</v>
      </c>
      <c r="G13" s="13" t="n">
        <v>3</v>
      </c>
    </row>
    <row r="14" customFormat="false" ht="30" hidden="false" customHeight="true" outlineLevel="0" collapsed="false">
      <c r="A14" s="12" t="n">
        <v>9</v>
      </c>
      <c r="B14" s="7" t="s">
        <v>39</v>
      </c>
      <c r="C14" s="13" t="n">
        <v>2</v>
      </c>
      <c r="D14" s="14"/>
      <c r="E14" s="7"/>
      <c r="F14" s="15" t="n">
        <f aca="false">IF(D14="Yes — disclosed",2,IF(D14="No sub-processors",2,IF(D14="Yes — not disclosed",0,0)))</f>
        <v>0</v>
      </c>
      <c r="G14" s="13" t="n">
        <v>2</v>
      </c>
    </row>
    <row r="15" customFormat="false" ht="30" hidden="false" customHeight="true" outlineLevel="0" collapsed="false">
      <c r="A15" s="12" t="n">
        <v>10</v>
      </c>
      <c r="B15" s="7" t="s">
        <v>40</v>
      </c>
      <c r="C15" s="13" t="n">
        <v>3</v>
      </c>
      <c r="D15" s="14"/>
      <c r="E15" s="7"/>
      <c r="F15" s="15" t="n">
        <f aca="false">IF(D15="No — data stays in Qatar",3,IF(D15="Yes — transfers documented",2,IF(D15="Yes — transfers not documented",0,0)))</f>
        <v>0</v>
      </c>
      <c r="G15" s="13" t="n">
        <v>3</v>
      </c>
    </row>
    <row r="16" customFormat="false" ht="21.75" hidden="false" customHeight="true" outlineLevel="0" collapsed="false">
      <c r="A16" s="3" t="s">
        <v>41</v>
      </c>
      <c r="B16" s="3"/>
      <c r="C16" s="3"/>
      <c r="D16" s="3"/>
      <c r="E16" s="3"/>
      <c r="F16" s="3"/>
      <c r="G16" s="3"/>
    </row>
    <row r="17" customFormat="false" ht="30" hidden="false" customHeight="true" outlineLevel="0" collapsed="false">
      <c r="A17" s="12" t="n">
        <v>11</v>
      </c>
      <c r="B17" s="7" t="s">
        <v>42</v>
      </c>
      <c r="C17" s="13" t="n">
        <v>4</v>
      </c>
      <c r="D17" s="14"/>
      <c r="E17" s="7"/>
      <c r="F17" s="15" t="n">
        <f aca="false">IF(D17="Yes — all systems",4,IF(D17="Yes — critical systems only",2,IF(D17="In Progress",1,IF(D17="No",0,0))))</f>
        <v>0</v>
      </c>
      <c r="G17" s="13" t="n">
        <v>4</v>
      </c>
    </row>
    <row r="18" customFormat="false" ht="30" hidden="false" customHeight="true" outlineLevel="0" collapsed="false">
      <c r="A18" s="12" t="n">
        <v>12</v>
      </c>
      <c r="B18" s="7" t="s">
        <v>43</v>
      </c>
      <c r="C18" s="13" t="n">
        <v>3</v>
      </c>
      <c r="D18" s="14"/>
      <c r="E18" s="7"/>
      <c r="F18" s="15" t="n">
        <f aca="false">IF(D18="Yes",3,IF(D18="Partial",2,IF(D18="No",0,0)))</f>
        <v>0</v>
      </c>
      <c r="G18" s="13" t="n">
        <v>3</v>
      </c>
    </row>
    <row r="19" customFormat="false" ht="30" hidden="false" customHeight="true" outlineLevel="0" collapsed="false">
      <c r="A19" s="12" t="n">
        <v>13</v>
      </c>
      <c r="B19" s="7" t="s">
        <v>44</v>
      </c>
      <c r="C19" s="13" t="n">
        <v>3</v>
      </c>
      <c r="D19" s="14"/>
      <c r="E19" s="7"/>
      <c r="F19" s="15" t="n">
        <f aca="false">IF(D19="Yes — quarterly",3,IF(D19="Yes — annually",2,IF(D19="No",0,0)))</f>
        <v>0</v>
      </c>
      <c r="G19" s="13" t="n">
        <v>3</v>
      </c>
    </row>
    <row r="20" customFormat="false" ht="30" hidden="false" customHeight="true" outlineLevel="0" collapsed="false">
      <c r="A20" s="12" t="n">
        <v>14</v>
      </c>
      <c r="B20" s="7" t="s">
        <v>45</v>
      </c>
      <c r="C20" s="13" t="n">
        <v>3</v>
      </c>
      <c r="D20" s="14"/>
      <c r="E20" s="7"/>
      <c r="F20" s="15" t="n">
        <f aca="false">IF(D20="Yes",3,IF(D20="Partial",1,IF(D20="No",0,0)))</f>
        <v>0</v>
      </c>
      <c r="G20" s="13" t="n">
        <v>3</v>
      </c>
    </row>
    <row r="21" customFormat="false" ht="21.75" hidden="false" customHeight="true" outlineLevel="0" collapsed="false">
      <c r="A21" s="3" t="s">
        <v>46</v>
      </c>
      <c r="B21" s="3"/>
      <c r="C21" s="3"/>
      <c r="D21" s="3"/>
      <c r="E21" s="3"/>
      <c r="F21" s="3"/>
      <c r="G21" s="3"/>
    </row>
    <row r="22" customFormat="false" ht="30" hidden="false" customHeight="true" outlineLevel="0" collapsed="false">
      <c r="A22" s="12" t="n">
        <v>15</v>
      </c>
      <c r="B22" s="7" t="s">
        <v>47</v>
      </c>
      <c r="C22" s="13" t="n">
        <v>3</v>
      </c>
      <c r="D22" s="14"/>
      <c r="E22" s="7"/>
      <c r="F22" s="15" t="n">
        <f aca="false">IF(D22="Yes",3,IF(D22="Partial",1,IF(D22="No",0,0)))</f>
        <v>0</v>
      </c>
      <c r="G22" s="13" t="n">
        <v>3</v>
      </c>
    </row>
    <row r="23" customFormat="false" ht="30" hidden="false" customHeight="true" outlineLevel="0" collapsed="false">
      <c r="A23" s="12" t="n">
        <v>16</v>
      </c>
      <c r="B23" s="7" t="s">
        <v>48</v>
      </c>
      <c r="C23" s="13" t="n">
        <v>4</v>
      </c>
      <c r="D23" s="14"/>
      <c r="E23" s="7"/>
      <c r="F23" s="15" t="n">
        <f aca="false">IF(D23="Within 24 hours",4,IF(D23="Within 7 days",3,IF(D23="Within 30 days",1,IF(D23="More than 30 days",0,0))))</f>
        <v>0</v>
      </c>
      <c r="G23" s="13" t="n">
        <v>4</v>
      </c>
    </row>
    <row r="24" customFormat="false" ht="30" hidden="false" customHeight="true" outlineLevel="0" collapsed="false">
      <c r="A24" s="12" t="n">
        <v>17</v>
      </c>
      <c r="B24" s="7" t="s">
        <v>49</v>
      </c>
      <c r="C24" s="13" t="n">
        <v>3</v>
      </c>
      <c r="D24" s="14"/>
      <c r="E24" s="7"/>
      <c r="F24" s="15" t="n">
        <f aca="false">IF(D24="Yes — annual",3,IF(D24="Yes — ad hoc",2,IF(D24="No",0,0)))</f>
        <v>0</v>
      </c>
      <c r="G24" s="13" t="n">
        <v>3</v>
      </c>
    </row>
    <row r="25" customFormat="false" ht="30" hidden="false" customHeight="true" outlineLevel="0" collapsed="false">
      <c r="A25" s="12" t="n">
        <v>18</v>
      </c>
      <c r="B25" s="7" t="s">
        <v>50</v>
      </c>
      <c r="C25" s="13" t="n">
        <v>2</v>
      </c>
      <c r="D25" s="14"/>
      <c r="E25" s="7"/>
      <c r="F25" s="15" t="n">
        <f aca="false">IF(D25="Yes",2,IF(D25="No",0,0))</f>
        <v>0</v>
      </c>
      <c r="G25" s="13" t="n">
        <v>2</v>
      </c>
    </row>
    <row r="26" customFormat="false" ht="21.75" hidden="false" customHeight="true" outlineLevel="0" collapsed="false">
      <c r="A26" s="3" t="s">
        <v>51</v>
      </c>
      <c r="B26" s="3"/>
      <c r="C26" s="3"/>
      <c r="D26" s="3"/>
      <c r="E26" s="3"/>
      <c r="F26" s="3"/>
      <c r="G26" s="3"/>
    </row>
    <row r="27" customFormat="false" ht="30" hidden="false" customHeight="true" outlineLevel="0" collapsed="false">
      <c r="A27" s="12" t="n">
        <v>19</v>
      </c>
      <c r="B27" s="7" t="s">
        <v>52</v>
      </c>
      <c r="C27" s="13" t="n">
        <v>4</v>
      </c>
      <c r="D27" s="14"/>
      <c r="E27" s="7"/>
      <c r="F27" s="15" t="n">
        <f aca="false">IF(D27="Yes — tested",4,IF(D27="Yes — not tested",2,IF(D27="No",0,0)))</f>
        <v>0</v>
      </c>
      <c r="G27" s="13" t="n">
        <v>4</v>
      </c>
    </row>
    <row r="28" customFormat="false" ht="30" hidden="false" customHeight="true" outlineLevel="0" collapsed="false">
      <c r="A28" s="12" t="n">
        <v>20</v>
      </c>
      <c r="B28" s="7" t="s">
        <v>53</v>
      </c>
      <c r="C28" s="13" t="n">
        <v>5</v>
      </c>
      <c r="D28" s="14"/>
      <c r="E28" s="7"/>
      <c r="F28" s="15" t="n">
        <f aca="false">IF(D28="Within 24 hours",5,IF(D28="Within 48 hours",4,IF(D28="Within 72 hours",3,IF(D28="More than 72 hours",1,IF(D28="Not defined",0,0)))))</f>
        <v>0</v>
      </c>
      <c r="G28" s="13" t="n">
        <v>5</v>
      </c>
    </row>
    <row r="29" customFormat="false" ht="30" hidden="false" customHeight="true" outlineLevel="0" collapsed="false">
      <c r="A29" s="12" t="n">
        <v>21</v>
      </c>
      <c r="B29" s="7" t="s">
        <v>54</v>
      </c>
      <c r="C29" s="13" t="n">
        <v>3</v>
      </c>
      <c r="D29" s="14"/>
      <c r="E29" s="7"/>
      <c r="F29" s="15" t="n">
        <f aca="false">IF(D29="No",3,IF(D29="Yes — disclosed",2,IF(D29="Yes — not disclosed",0,0)))</f>
        <v>0</v>
      </c>
      <c r="G29" s="13" t="n">
        <v>3</v>
      </c>
    </row>
    <row r="30" customFormat="false" ht="21.75" hidden="false" customHeight="true" outlineLevel="0" collapsed="false">
      <c r="A30" s="3" t="s">
        <v>55</v>
      </c>
      <c r="B30" s="3"/>
      <c r="C30" s="3"/>
      <c r="D30" s="3"/>
      <c r="E30" s="3"/>
      <c r="F30" s="3"/>
      <c r="G30" s="3"/>
    </row>
    <row r="31" customFormat="false" ht="30" hidden="false" customHeight="true" outlineLevel="0" collapsed="false">
      <c r="A31" s="12" t="n">
        <v>22</v>
      </c>
      <c r="B31" s="7" t="s">
        <v>56</v>
      </c>
      <c r="C31" s="13" t="n">
        <v>3</v>
      </c>
      <c r="D31" s="14"/>
      <c r="E31" s="7"/>
      <c r="F31" s="15" t="n">
        <f aca="false">IF(D31="Yes — tested",3,IF(D31="Yes — not tested",1,IF(D31="No",0,0)))</f>
        <v>0</v>
      </c>
      <c r="G31" s="13" t="n">
        <v>3</v>
      </c>
    </row>
    <row r="32" customFormat="false" ht="30" hidden="false" customHeight="true" outlineLevel="0" collapsed="false">
      <c r="A32" s="12" t="n">
        <v>23</v>
      </c>
      <c r="B32" s="7" t="s">
        <v>57</v>
      </c>
      <c r="C32" s="13" t="n">
        <v>3</v>
      </c>
      <c r="D32" s="14"/>
      <c r="E32" s="7"/>
      <c r="F32" s="15" t="n">
        <f aca="false">IF(D32="99.99%+",3,IF(D32="99.9%",2,IF(D32="99%",1,IF(D32="Not defined",0,0))))</f>
        <v>0</v>
      </c>
      <c r="G32" s="13" t="n">
        <v>3</v>
      </c>
    </row>
    <row r="33" customFormat="false" ht="30" hidden="false" customHeight="true" outlineLevel="0" collapsed="false">
      <c r="A33" s="12" t="n">
        <v>24</v>
      </c>
      <c r="B33" s="7" t="s">
        <v>58</v>
      </c>
      <c r="C33" s="13" t="n">
        <v>3</v>
      </c>
      <c r="D33" s="14"/>
      <c r="E33" s="7"/>
      <c r="F33" s="15" t="n">
        <f aca="false">IF(D33="Yes — tested",3,IF(D33="Yes — not tested",1,IF(D33="No",0,0)))</f>
        <v>0</v>
      </c>
      <c r="G33" s="13" t="n">
        <v>3</v>
      </c>
    </row>
    <row r="34" customFormat="false" ht="21.75" hidden="false" customHeight="true" outlineLevel="0" collapsed="false">
      <c r="A34" s="3" t="s">
        <v>59</v>
      </c>
      <c r="B34" s="3"/>
      <c r="C34" s="3"/>
      <c r="D34" s="3"/>
      <c r="E34" s="3"/>
      <c r="F34" s="3"/>
      <c r="G34" s="3"/>
    </row>
    <row r="35" customFormat="false" ht="30" hidden="false" customHeight="true" outlineLevel="0" collapsed="false">
      <c r="A35" s="12" t="n">
        <v>25</v>
      </c>
      <c r="B35" s="7" t="s">
        <v>60</v>
      </c>
      <c r="C35" s="13" t="n">
        <v>2</v>
      </c>
      <c r="D35" s="14"/>
      <c r="E35" s="7"/>
      <c r="F35" s="15" t="n">
        <f aca="false">IF(D35="Yes",2,IF(D35="N/A — cloud only",2,IF(D35="No",0,0)))</f>
        <v>0</v>
      </c>
      <c r="G35" s="13" t="n">
        <v>2</v>
      </c>
    </row>
    <row r="36" customFormat="false" ht="30" hidden="false" customHeight="true" outlineLevel="0" collapsed="false">
      <c r="A36" s="12" t="n">
        <v>26</v>
      </c>
      <c r="B36" s="7" t="s">
        <v>61</v>
      </c>
      <c r="C36" s="13" t="n">
        <v>2</v>
      </c>
      <c r="D36" s="14"/>
      <c r="E36" s="7"/>
      <c r="F36" s="15" t="n">
        <f aca="false">IF(D36="Yes",2,IF(D36="N/A — cloud only",2,IF(D36="No",0,0)))</f>
        <v>0</v>
      </c>
      <c r="G36" s="13" t="n">
        <v>2</v>
      </c>
    </row>
    <row r="37" customFormat="false" ht="21.75" hidden="false" customHeight="true" outlineLevel="0" collapsed="false">
      <c r="A37" s="3" t="s">
        <v>62</v>
      </c>
      <c r="B37" s="3"/>
      <c r="C37" s="3"/>
      <c r="D37" s="3"/>
      <c r="E37" s="3"/>
      <c r="F37" s="3"/>
      <c r="G37" s="3"/>
    </row>
    <row r="38" customFormat="false" ht="30" hidden="false" customHeight="true" outlineLevel="0" collapsed="false">
      <c r="A38" s="12" t="n">
        <v>27</v>
      </c>
      <c r="B38" s="7" t="s">
        <v>63</v>
      </c>
      <c r="C38" s="13" t="n">
        <v>4</v>
      </c>
      <c r="D38" s="14"/>
      <c r="E38" s="7"/>
      <c r="F38" s="15" t="n">
        <f aca="false">IF(D38="No",4,IF(D38="Yes — disclosed",1,IF(D38="Yes — not disclosed",0,0)))</f>
        <v>0</v>
      </c>
      <c r="G38" s="13" t="n">
        <v>4</v>
      </c>
    </row>
    <row r="39" customFormat="false" ht="30" hidden="false" customHeight="true" outlineLevel="0" collapsed="false">
      <c r="A39" s="12" t="n">
        <v>28</v>
      </c>
      <c r="B39" s="7" t="s">
        <v>64</v>
      </c>
      <c r="C39" s="13" t="n">
        <v>3</v>
      </c>
      <c r="D39" s="14"/>
      <c r="E39" s="7"/>
      <c r="F39" s="15" t="n">
        <f aca="false">IF(D39="Yes",3,IF(D39="Under discussion",1,IF(D39="No",0,0)))</f>
        <v>0</v>
      </c>
      <c r="G39" s="13" t="n">
        <v>3</v>
      </c>
    </row>
    <row r="40" customFormat="false" ht="30" hidden="false" customHeight="true" outlineLevel="0" collapsed="false">
      <c r="A40" s="12" t="n">
        <v>29</v>
      </c>
      <c r="B40" s="7" t="s">
        <v>65</v>
      </c>
      <c r="C40" s="13" t="n">
        <v>2</v>
      </c>
      <c r="D40" s="14"/>
      <c r="E40" s="7"/>
      <c r="F40" s="15" t="n">
        <f aca="false">IF(D40="Yes",2,IF(D40="No",0,IF(D40="Unknown",0,0)))</f>
        <v>0</v>
      </c>
      <c r="G40" s="13" t="n">
        <v>2</v>
      </c>
    </row>
    <row r="41" customFormat="false" ht="25.5" hidden="false" customHeight="true" outlineLevel="0" collapsed="false">
      <c r="A41" s="16" t="s">
        <v>66</v>
      </c>
      <c r="B41" s="16"/>
      <c r="C41" s="16"/>
      <c r="D41" s="16"/>
      <c r="E41" s="16"/>
      <c r="F41" s="17" t="n">
        <f aca="false">F5+F6+F7+F8+F9+F11+F12+F13+F14+F15+F17+F18+F19+F20+F22+F23+F24+F25+F27+F28+F29+F31+F32+F33+F35+F36+F38+F39+F40</f>
        <v>0</v>
      </c>
      <c r="G41" s="17" t="n">
        <f aca="false">G5+G6+G7+G8+G9+G11+G12+G13+G14+G15+G17+G18+G19+G20+G22+G23+G24+G25+G27+G28+G29+G31+G32+G33+G35+G36+G38+G39+G40</f>
        <v>91</v>
      </c>
    </row>
  </sheetData>
  <mergeCells count="11">
    <mergeCell ref="A1:G1"/>
    <mergeCell ref="A2:G2"/>
    <mergeCell ref="A4:G4"/>
    <mergeCell ref="A10:G10"/>
    <mergeCell ref="A16:G16"/>
    <mergeCell ref="A21:G21"/>
    <mergeCell ref="A26:G26"/>
    <mergeCell ref="A30:G30"/>
    <mergeCell ref="A34:G34"/>
    <mergeCell ref="A37:G37"/>
    <mergeCell ref="A41:E41"/>
  </mergeCells>
  <dataValidations count="29">
    <dataValidation allowBlank="true" errorStyle="stop" operator="between" showDropDown="false" showErrorMessage="false" showInputMessage="false" sqref="D5" type="list">
      <formula1>"Yes,No,Partial"</formula1>
      <formula2>0</formula2>
    </dataValidation>
    <dataValidation allowBlank="true" errorStyle="stop" operator="between" showDropDown="false" showErrorMessage="false" showInputMessage="false" sqref="D6" type="list">
      <formula1>"Yes,No"</formula1>
      <formula2>0</formula2>
    </dataValidation>
    <dataValidation allowBlank="true" errorStyle="stop" operator="between" showDropDown="false" showErrorMessage="false" showInputMessage="false" sqref="D7" type="list">
      <formula1>"ISO 27001,SOC 2 Type II,SOC 2 Type I,Other,None"</formula1>
      <formula2>0</formula2>
    </dataValidation>
    <dataValidation allowBlank="true" errorStyle="stop" operator="between" showDropDown="false" showErrorMessage="false" showInputMessage="false" sqref="D8" type="list">
      <formula1>"Yes — certificate provided,Yes — self-attested,No,N/A"</formula1>
      <formula2>0</formula2>
    </dataValidation>
    <dataValidation allowBlank="true" errorStyle="stop" operator="between" showDropDown="false" showErrorMessage="false" showInputMessage="false" sqref="D9" type="list">
      <formula1>"Yes,No,In Progress"</formula1>
      <formula2>0</formula2>
    </dataValidation>
    <dataValidation allowBlank="true" errorStyle="stop" operator="between" showDropDown="false" showErrorMessage="false" showInputMessage="false" sqref="D11" type="list">
      <formula1>"Yes,No"</formula1>
      <formula2>0</formula2>
    </dataValidation>
    <dataValidation allowBlank="true" errorStyle="stop" operator="between" showDropDown="false" showErrorMessage="false" showInputMessage="false" sqref="D12" type="list">
      <formula1>"Yes — signed,Yes — in discussion,No,N/A"</formula1>
      <formula2>0</formula2>
    </dataValidation>
    <dataValidation allowBlank="true" errorStyle="stop" operator="between" showDropDown="false" showErrorMessage="false" showInputMessage="false" sqref="D13" type="list">
      <formula1>"Yes,No,Partial"</formula1>
      <formula2>0</formula2>
    </dataValidation>
    <dataValidation allowBlank="true" errorStyle="stop" operator="between" showDropDown="false" showErrorMessage="false" showInputMessage="false" sqref="D14" type="list">
      <formula1>"Yes — disclosed,Yes — not disclosed,No sub-processors"</formula1>
      <formula2>0</formula2>
    </dataValidation>
    <dataValidation allowBlank="true" errorStyle="stop" operator="between" showDropDown="false" showErrorMessage="false" showInputMessage="false" sqref="D15" type="list">
      <formula1>"No — data stays in Qatar,Yes — transfers documented,Yes — transfers not documented"</formula1>
      <formula2>0</formula2>
    </dataValidation>
    <dataValidation allowBlank="true" errorStyle="stop" operator="between" showDropDown="false" showErrorMessage="false" showInputMessage="false" sqref="D17" type="list">
      <formula1>"Yes — all systems,Yes — critical systems only,No,In Progress"</formula1>
      <formula2>0</formula2>
    </dataValidation>
    <dataValidation allowBlank="true" errorStyle="stop" operator="between" showDropDown="false" showErrorMessage="false" showInputMessage="false" sqref="D18" type="list">
      <formula1>"Yes,No,Partial"</formula1>
      <formula2>0</formula2>
    </dataValidation>
    <dataValidation allowBlank="true" errorStyle="stop" operator="between" showDropDown="false" showErrorMessage="false" showInputMessage="false" sqref="D19" type="list">
      <formula1>"Yes — quarterly,Yes — annually,No"</formula1>
      <formula2>0</formula2>
    </dataValidation>
    <dataValidation allowBlank="true" errorStyle="stop" operator="between" showDropDown="false" showErrorMessage="false" showInputMessage="false" sqref="D20" type="list">
      <formula1>"Yes,No,Partial"</formula1>
      <formula2>0</formula2>
    </dataValidation>
    <dataValidation allowBlank="true" errorStyle="stop" operator="between" showDropDown="false" showErrorMessage="false" showInputMessage="false" sqref="D22" type="list">
      <formula1>"Yes,No,Partial"</formula1>
      <formula2>0</formula2>
    </dataValidation>
    <dataValidation allowBlank="true" errorStyle="stop" operator="between" showDropDown="false" showErrorMessage="false" showInputMessage="false" sqref="D23" type="list">
      <formula1>"Within 24 hours,Within 7 days,Within 30 days,More than 30 days"</formula1>
      <formula2>0</formula2>
    </dataValidation>
    <dataValidation allowBlank="true" errorStyle="stop" operator="between" showDropDown="false" showErrorMessage="false" showInputMessage="false" sqref="D24" type="list">
      <formula1>"Yes — annual,Yes — ad hoc,No"</formula1>
      <formula2>0</formula2>
    </dataValidation>
    <dataValidation allowBlank="true" errorStyle="stop" operator="between" showDropDown="false" showErrorMessage="false" showInputMessage="false" sqref="D25" type="list">
      <formula1>"Yes,No"</formula1>
      <formula2>0</formula2>
    </dataValidation>
    <dataValidation allowBlank="true" errorStyle="stop" operator="between" showDropDown="false" showErrorMessage="false" showInputMessage="false" sqref="D27" type="list">
      <formula1>"Yes — tested,Yes — not tested,No"</formula1>
      <formula2>0</formula2>
    </dataValidation>
    <dataValidation allowBlank="true" errorStyle="stop" operator="between" showDropDown="false" showErrorMessage="false" showInputMessage="false" sqref="D28" type="list">
      <formula1>"Within 24 hours,Within 48 hours,Within 72 hours,More than 72 hours,Not defined"</formula1>
      <formula2>0</formula2>
    </dataValidation>
    <dataValidation allowBlank="true" errorStyle="stop" operator="between" showDropDown="false" showErrorMessage="false" showInputMessage="false" sqref="D29" type="list">
      <formula1>"No,Yes — disclosed,Yes — not disclosed"</formula1>
      <formula2>0</formula2>
    </dataValidation>
    <dataValidation allowBlank="true" errorStyle="stop" operator="between" showDropDown="false" showErrorMessage="false" showInputMessage="false" sqref="D31" type="list">
      <formula1>"Yes — tested,Yes — not tested,No"</formula1>
      <formula2>0</formula2>
    </dataValidation>
    <dataValidation allowBlank="true" errorStyle="stop" operator="between" showDropDown="false" showErrorMessage="false" showInputMessage="false" sqref="D32" type="list">
      <formula1>"99.99%+,99.9%,99%,Not defined"</formula1>
      <formula2>0</formula2>
    </dataValidation>
    <dataValidation allowBlank="true" errorStyle="stop" operator="between" showDropDown="false" showErrorMessage="false" showInputMessage="false" sqref="D33" type="list">
      <formula1>"Yes — tested,Yes — not tested,No"</formula1>
      <formula2>0</formula2>
    </dataValidation>
    <dataValidation allowBlank="true" errorStyle="stop" operator="between" showDropDown="false" showErrorMessage="false" showInputMessage="false" sqref="D35" type="list">
      <formula1>"Yes,No,N/A — cloud only"</formula1>
      <formula2>0</formula2>
    </dataValidation>
    <dataValidation allowBlank="true" errorStyle="stop" operator="between" showDropDown="false" showErrorMessage="false" showInputMessage="false" sqref="D36" type="list">
      <formula1>"Yes,No,N/A — cloud only"</formula1>
      <formula2>0</formula2>
    </dataValidation>
    <dataValidation allowBlank="true" errorStyle="stop" operator="between" showDropDown="false" showErrorMessage="false" showInputMessage="false" sqref="D38" type="list">
      <formula1>"No,Yes — disclosed,Yes — not disclosed"</formula1>
      <formula2>0</formula2>
    </dataValidation>
    <dataValidation allowBlank="true" errorStyle="stop" operator="between" showDropDown="false" showErrorMessage="false" showInputMessage="false" sqref="D39" type="list">
      <formula1>"Yes,No,Under discussion"</formula1>
      <formula2>0</formula2>
    </dataValidation>
    <dataValidation allowBlank="true" errorStyle="stop" operator="between" showDropDown="false" showErrorMessage="false" showInputMessage="false" sqref="D40" type="list">
      <formula1>"Yes,No,Unknown"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7AE60"/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0"/>
    <col collapsed="false" customWidth="true" hidden="false" outlineLevel="0" max="3" min="3" style="0" width="18"/>
    <col collapsed="false" customWidth="true" hidden="false" outlineLevel="0" max="4" min="4" style="0" width="50"/>
    <col collapsed="false" customWidth="true" hidden="false" outlineLevel="0" max="6" min="5" style="0" width="1"/>
  </cols>
  <sheetData>
    <row r="1" customFormat="false" ht="27.75" hidden="false" customHeight="true" outlineLevel="0" collapsed="false">
      <c r="A1" s="1" t="s">
        <v>67</v>
      </c>
      <c r="B1" s="1"/>
      <c r="C1" s="1"/>
      <c r="D1" s="1"/>
      <c r="E1" s="1"/>
      <c r="F1" s="1"/>
    </row>
    <row r="3" customFormat="false" ht="27.75" hidden="false" customHeight="true" outlineLevel="0" collapsed="false">
      <c r="A3" s="4" t="s">
        <v>68</v>
      </c>
      <c r="B3" s="18" t="n">
        <f aca="false">Questionnaire!F41</f>
        <v>0</v>
      </c>
    </row>
    <row r="4" customFormat="false" ht="27.75" hidden="false" customHeight="true" outlineLevel="0" collapsed="false">
      <c r="A4" s="4" t="s">
        <v>69</v>
      </c>
      <c r="B4" s="18" t="n">
        <f aca="false">Questionnaire!G41</f>
        <v>91</v>
      </c>
    </row>
    <row r="5" customFormat="false" ht="27.75" hidden="false" customHeight="true" outlineLevel="0" collapsed="false">
      <c r="A5" s="4" t="s">
        <v>70</v>
      </c>
      <c r="B5" s="19" t="n">
        <f aca="false">IF(B4=0,0,B3/B4)</f>
        <v>0</v>
      </c>
    </row>
    <row r="6" customFormat="false" ht="27.75" hidden="false" customHeight="true" outlineLevel="0" collapsed="false">
      <c r="A6" s="4" t="s">
        <v>71</v>
      </c>
      <c r="B6" s="18" t="str">
        <f aca="false">IF(B5&gt;=0.75,"GREEN",IF(B5&gt;=0.5,"AMBER","RED"))</f>
        <v>RED</v>
      </c>
    </row>
    <row r="7" customFormat="false" ht="27.75" hidden="false" customHeight="true" outlineLevel="0" collapsed="false">
      <c r="A7" s="4" t="s">
        <v>72</v>
      </c>
      <c r="B7" s="18" t="str">
        <f aca="false">IF(B5&gt;=0.75,"Low Risk",IF(B5&gt;=0.5,"Medium Risk",IF(B5&gt;=0.25,"High Risk","Critical Risk")))</f>
        <v>Critical Risk</v>
      </c>
    </row>
    <row r="9" customFormat="false" ht="15" hidden="false" customHeight="false" outlineLevel="0" collapsed="false">
      <c r="A9" s="3" t="s">
        <v>73</v>
      </c>
      <c r="B9" s="3"/>
      <c r="C9" s="3"/>
      <c r="D9" s="3"/>
      <c r="E9" s="3"/>
      <c r="F9" s="3"/>
    </row>
    <row r="10" customFormat="false" ht="15" hidden="false" customHeight="false" outlineLevel="0" collapsed="false">
      <c r="A10" s="20" t="s">
        <v>74</v>
      </c>
      <c r="B10" s="20" t="s">
        <v>75</v>
      </c>
      <c r="C10" s="20" t="s">
        <v>76</v>
      </c>
      <c r="D10" s="20" t="s">
        <v>77</v>
      </c>
    </row>
    <row r="11" customFormat="false" ht="30" hidden="false" customHeight="true" outlineLevel="0" collapsed="false">
      <c r="A11" s="21" t="s">
        <v>78</v>
      </c>
      <c r="B11" s="21" t="s">
        <v>79</v>
      </c>
      <c r="C11" s="22" t="s">
        <v>80</v>
      </c>
      <c r="D11" s="23" t="s">
        <v>81</v>
      </c>
      <c r="E11" s="23"/>
      <c r="F11" s="23"/>
    </row>
    <row r="12" customFormat="false" ht="30" hidden="false" customHeight="true" outlineLevel="0" collapsed="false">
      <c r="A12" s="24" t="s">
        <v>82</v>
      </c>
      <c r="B12" s="24" t="s">
        <v>83</v>
      </c>
      <c r="C12" s="25" t="s">
        <v>84</v>
      </c>
      <c r="D12" s="26" t="s">
        <v>85</v>
      </c>
      <c r="E12" s="26"/>
      <c r="F12" s="26"/>
    </row>
    <row r="13" customFormat="false" ht="30" hidden="false" customHeight="true" outlineLevel="0" collapsed="false">
      <c r="A13" s="27" t="s">
        <v>86</v>
      </c>
      <c r="B13" s="27" t="s">
        <v>87</v>
      </c>
      <c r="C13" s="28" t="s">
        <v>88</v>
      </c>
      <c r="D13" s="29" t="s">
        <v>89</v>
      </c>
      <c r="E13" s="29"/>
      <c r="F13" s="29"/>
    </row>
    <row r="14" customFormat="false" ht="30" hidden="false" customHeight="true" outlineLevel="0" collapsed="false">
      <c r="A14" s="27" t="s">
        <v>90</v>
      </c>
      <c r="B14" s="27" t="s">
        <v>87</v>
      </c>
      <c r="C14" s="28" t="s">
        <v>91</v>
      </c>
      <c r="D14" s="29" t="s">
        <v>92</v>
      </c>
      <c r="E14" s="29"/>
      <c r="F14" s="29"/>
    </row>
  </sheetData>
  <mergeCells count="6">
    <mergeCell ref="A1:F1"/>
    <mergeCell ref="A9:F9"/>
    <mergeCell ref="D11:F11"/>
    <mergeCell ref="D12:F12"/>
    <mergeCell ref="D13:F13"/>
    <mergeCell ref="D14:F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2026-06-09T08:41:45Z</dcterms:created>
  <dc:creator>openpyxl</dc:creator>
  <dc:description/>
  <dc:language>en-US</dc:language>
  <cp:lastModifiedBy/>
  <dcterms:modified xsi:type="dcterms:W3CDTF">2026-06-09T08:41:45Z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