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 Map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<sst xmlns="http://schemas.openxmlformats.org/spreadsheetml/2006/main" count="332" uniqueCount="265">
  <si>
    <t xml:space="preserve">ISO 27001:2022 RISK REGISTER — DataFlow Qatar</t>
  </si>
  <si>
    <t xml:space="preserve">Last Reviewed: June 2026  |  Risk Scoring: Likelihood (1–5) × Impact (1–5)  |  Treatment: Mitigate / Accept / Transfer / Avoid</t>
  </si>
  <si>
    <t xml:space="preserve">Risk ID</t>
  </si>
  <si>
    <t xml:space="preserve">Asset / Process</t>
  </si>
  <si>
    <t xml:space="preserve">Risk Description</t>
  </si>
  <si>
    <t xml:space="preserve">Threat</t>
  </si>
  <si>
    <t xml:space="preserve">Vulnerability</t>
  </si>
  <si>
    <t xml:space="preserve">Inherent
Likelihood
(1–5)</t>
  </si>
  <si>
    <t xml:space="preserve">Inherent
Impact
(1–5)</t>
  </si>
  <si>
    <t xml:space="preserve">Inherent
Risk Score</t>
  </si>
  <si>
    <t xml:space="preserve">Inherent
Risk Zone</t>
  </si>
  <si>
    <t xml:space="preserve">Existing Controls</t>
  </si>
  <si>
    <t xml:space="preserve">Residual
Likelihood
(1–5)</t>
  </si>
  <si>
    <t xml:space="preserve">Residual
Impact
(1–5)</t>
  </si>
  <si>
    <t xml:space="preserve">Residual
Risk Score</t>
  </si>
  <si>
    <t xml:space="preserve">Residual
Risk Zone</t>
  </si>
  <si>
    <t xml:space="preserve">Treatment</t>
  </si>
  <si>
    <t xml:space="preserve">Risk Owner</t>
  </si>
  <si>
    <t xml:space="preserve">Due Date</t>
  </si>
  <si>
    <t xml:space="preserve">Status</t>
  </si>
  <si>
    <t xml:space="preserve">Evidence / Notes</t>
  </si>
  <si>
    <t xml:space="preserve">R-001</t>
  </si>
  <si>
    <t xml:space="preserve">Production Servers</t>
  </si>
  <si>
    <t xml:space="preserve">Ransomware attack encrypts production data and backups</t>
  </si>
  <si>
    <t xml:space="preserve">Malware / Cybercrime</t>
  </si>
  <si>
    <t xml:space="preserve">Insufficient EDR; unpatched OS</t>
  </si>
  <si>
    <t xml:space="preserve">EDR deployed; daily encrypted backups; DR tested</t>
  </si>
  <si>
    <t xml:space="preserve">Mitigate</t>
  </si>
  <si>
    <t xml:space="preserve">IT Security</t>
  </si>
  <si>
    <t xml:space="preserve">2026-09-30</t>
  </si>
  <si>
    <t xml:space="preserve">In Treatment</t>
  </si>
  <si>
    <t xml:space="preserve">SOC-002, BCK-001</t>
  </si>
  <si>
    <t xml:space="preserve">R-002</t>
  </si>
  <si>
    <t xml:space="preserve">Identity &amp; Access</t>
  </si>
  <si>
    <t xml:space="preserve">Credential compromise via phishing leading to unauthorised access</t>
  </si>
  <si>
    <t xml:space="preserve">Social Engineering</t>
  </si>
  <si>
    <t xml:space="preserve">Incomplete MFA rollout</t>
  </si>
  <si>
    <t xml:space="preserve">MFA 80% deployed; PAM evaluation in progress</t>
  </si>
  <si>
    <t xml:space="preserve">2026-06-30</t>
  </si>
  <si>
    <t xml:space="preserve">IAM-001, AUD-003</t>
  </si>
  <si>
    <t xml:space="preserve">R-003</t>
  </si>
  <si>
    <t xml:space="preserve">Customer Data (PDPPL)</t>
  </si>
  <si>
    <t xml:space="preserve">Personal data breach triggering PDPPL notification obligation</t>
  </si>
  <si>
    <t xml:space="preserve">Data exfiltration</t>
  </si>
  <si>
    <t xml:space="preserve">Data inventory incomplete</t>
  </si>
  <si>
    <t xml:space="preserve">DLP deployed; data inventory 65% complete</t>
  </si>
  <si>
    <t xml:space="preserve">Compliance Officer</t>
  </si>
  <si>
    <t xml:space="preserve">2026-07-31</t>
  </si>
  <si>
    <t xml:space="preserve">PDPPL-001, DLP-001</t>
  </si>
  <si>
    <t xml:space="preserve">R-004</t>
  </si>
  <si>
    <t xml:space="preserve">Third-Party Processors</t>
  </si>
  <si>
    <t xml:space="preserve">Processor misuses or loses personal data entrusted to them</t>
  </si>
  <si>
    <t xml:space="preserve">Supply chain / insider</t>
  </si>
  <si>
    <t xml:space="preserve">No DPA with all processors</t>
  </si>
  <si>
    <t xml:space="preserve">DPA programme in progress: 7/12 complete</t>
  </si>
  <si>
    <t xml:space="preserve">Legal / Compliance</t>
  </si>
  <si>
    <t xml:space="preserve">VRM-001, PDPPL-003</t>
  </si>
  <si>
    <t xml:space="preserve">R-005</t>
  </si>
  <si>
    <t xml:space="preserve">Payment Systems (PCI)</t>
  </si>
  <si>
    <t xml:space="preserve">Cardholder data exposed via unscoped system</t>
  </si>
  <si>
    <t xml:space="preserve">Network attack / insider</t>
  </si>
  <si>
    <t xml:space="preserve">CDE scope not fully defined</t>
  </si>
  <si>
    <t xml:space="preserve">Network segmentation in place; QSA scoping underway</t>
  </si>
  <si>
    <t xml:space="preserve">Finance IT</t>
  </si>
  <si>
    <t xml:space="preserve">Planned</t>
  </si>
  <si>
    <t xml:space="preserve">PCI-001, NET-002</t>
  </si>
  <si>
    <t xml:space="preserve">R-006</t>
  </si>
  <si>
    <t xml:space="preserve">Email / Users</t>
  </si>
  <si>
    <t xml:space="preserve">Phishing leads to credential theft and lateral movement</t>
  </si>
  <si>
    <t xml:space="preserve">Spear phishing</t>
  </si>
  <si>
    <t xml:space="preserve">Users not consistently trained</t>
  </si>
  <si>
    <t xml:space="preserve">DMARC/DKIM live; quarterly phishing simulations; 89% training</t>
  </si>
  <si>
    <t xml:space="preserve">SA-001, EML-001</t>
  </si>
  <si>
    <t xml:space="preserve">R-007</t>
  </si>
  <si>
    <t xml:space="preserve">Web Applications</t>
  </si>
  <si>
    <t xml:space="preserve">Exploitation of unpatched web app vulnerabilities</t>
  </si>
  <si>
    <t xml:space="preserve">External hacker</t>
  </si>
  <si>
    <t xml:space="preserve">Delayed patch cycle</t>
  </si>
  <si>
    <t xml:space="preserve">DAST scanning; monthly patching cycle; WAF deployed</t>
  </si>
  <si>
    <t xml:space="preserve">IT Team</t>
  </si>
  <si>
    <t xml:space="preserve">VUL-001, WAF-001</t>
  </si>
  <si>
    <t xml:space="preserve">R-008</t>
  </si>
  <si>
    <t xml:space="preserve">HR / Finance</t>
  </si>
  <si>
    <t xml:space="preserve">Insider data theft by privileged user</t>
  </si>
  <si>
    <t xml:space="preserve">Malicious insider</t>
  </si>
  <si>
    <t xml:space="preserve">Excessive access rights</t>
  </si>
  <si>
    <t xml:space="preserve">DLP implemented; quarterly access reviews; offboarding checklist</t>
  </si>
  <si>
    <t xml:space="preserve">HR / IT</t>
  </si>
  <si>
    <t xml:space="preserve">Monitoring</t>
  </si>
  <si>
    <t xml:space="preserve">IAM-002, DLP-002</t>
  </si>
  <si>
    <t xml:space="preserve">R-009</t>
  </si>
  <si>
    <t xml:space="preserve">Cloud (AWS)</t>
  </si>
  <si>
    <t xml:space="preserve">Misconfigured S3 bucket or IAM role exposes sensitive data</t>
  </si>
  <si>
    <t xml:space="preserve">Cloud misconfiguration</t>
  </si>
  <si>
    <t xml:space="preserve">Manual configuration changes</t>
  </si>
  <si>
    <t xml:space="preserve">CSPM tool deployed; IaC enforced; monthly config review</t>
  </si>
  <si>
    <t xml:space="preserve">DevOps</t>
  </si>
  <si>
    <t xml:space="preserve">CLD-001, CSP-001</t>
  </si>
  <si>
    <t xml:space="preserve">R-010</t>
  </si>
  <si>
    <t xml:space="preserve">Public Portal</t>
  </si>
  <si>
    <t xml:space="preserve">DDoS attack disrupts external-facing services</t>
  </si>
  <si>
    <t xml:space="preserve">DDoS</t>
  </si>
  <si>
    <t xml:space="preserve">No secondary CDN provider</t>
  </si>
  <si>
    <t xml:space="preserve">CDN + WAF deployed; BCP documented; cyber insurance active</t>
  </si>
  <si>
    <t xml:space="preserve">Transfer</t>
  </si>
  <si>
    <t xml:space="preserve">BCP-001, INS-001</t>
  </si>
  <si>
    <t xml:space="preserve">R-011</t>
  </si>
  <si>
    <t xml:space="preserve">Server Room</t>
  </si>
  <si>
    <t xml:space="preserve">Physical access by unauthorised person</t>
  </si>
  <si>
    <t xml:space="preserve">Physical intrusion</t>
  </si>
  <si>
    <t xml:space="preserve">Tailgating risk at entrance</t>
  </si>
  <si>
    <t xml:space="preserve">Biometric + access card; CCTV; CISO accepted residual risk</t>
  </si>
  <si>
    <t xml:space="preserve">Accept</t>
  </si>
  <si>
    <t xml:space="preserve">Facilities</t>
  </si>
  <si>
    <t xml:space="preserve">2026-12-31</t>
  </si>
  <si>
    <t xml:space="preserve">Accepted</t>
  </si>
  <si>
    <t xml:space="preserve">PHY-001</t>
  </si>
  <si>
    <t xml:space="preserve">R-012</t>
  </si>
  <si>
    <t xml:space="preserve">IT Operations</t>
  </si>
  <si>
    <t xml:space="preserve">Single point of failure — key technical staff departures</t>
  </si>
  <si>
    <t xml:space="preserve">HR / knowledge loss</t>
  </si>
  <si>
    <t xml:space="preserve">No cross-training or runbooks</t>
  </si>
  <si>
    <t xml:space="preserve">Cross-training plan in development; succession planning started</t>
  </si>
  <si>
    <t xml:space="preserve">HR</t>
  </si>
  <si>
    <t xml:space="preserve">HR-001</t>
  </si>
  <si>
    <t xml:space="preserve">R-013</t>
  </si>
  <si>
    <t xml:space="preserve">Regulatory</t>
  </si>
  <si>
    <t xml:space="preserve">New Qatar NIA / NCGAA requirements not adopted in time</t>
  </si>
  <si>
    <t xml:space="preserve">Regulatory change</t>
  </si>
  <si>
    <t xml:space="preserve">Monitoring not formalised</t>
  </si>
  <si>
    <t xml:space="preserve">Quarterly regulatory tracker reviewed by Compliance Officer</t>
  </si>
  <si>
    <t xml:space="preserve">REG-001</t>
  </si>
  <si>
    <t xml:space="preserve">R-014</t>
  </si>
  <si>
    <t xml:space="preserve">Cloud / SaaS</t>
  </si>
  <si>
    <t xml:space="preserve">Prolonged cloud provider outage disrupts operations</t>
  </si>
  <si>
    <t xml:space="preserve">Service outage</t>
  </si>
  <si>
    <t xml:space="preserve">No multi-cloud failover</t>
  </si>
  <si>
    <t xml:space="preserve">SLA 99.9%; BCP tested; cyber insurance covers BI losses</t>
  </si>
  <si>
    <t xml:space="preserve">IT</t>
  </si>
  <si>
    <t xml:space="preserve">BCP-002, INS-001</t>
  </si>
  <si>
    <t xml:space="preserve">R-015</t>
  </si>
  <si>
    <t xml:space="preserve">Email</t>
  </si>
  <si>
    <t xml:space="preserve">Business Email Compromise — executive impersonation</t>
  </si>
  <si>
    <t xml:space="preserve">BEC / Social Eng.</t>
  </si>
  <si>
    <t xml:space="preserve">CEO/CFO email spoofing possible</t>
  </si>
  <si>
    <t xml:space="preserve">DMARC strict policy; anti-spoof rules; staff training</t>
  </si>
  <si>
    <t xml:space="preserve">EML-002</t>
  </si>
  <si>
    <t xml:space="preserve">R-016</t>
  </si>
  <si>
    <t xml:space="preserve">Marketing</t>
  </si>
  <si>
    <t xml:space="preserve">Marketing using personal data without valid consent</t>
  </si>
  <si>
    <t xml:space="preserve">No CMP in place</t>
  </si>
  <si>
    <t xml:space="preserve">CMP vendor selected; implementation in progress</t>
  </si>
  <si>
    <t xml:space="preserve">Marketing / Legal</t>
  </si>
  <si>
    <t xml:space="preserve">PDPPL-002</t>
  </si>
  <si>
    <t xml:space="preserve">R-017</t>
  </si>
  <si>
    <t xml:space="preserve">Legal / Procurement</t>
  </si>
  <si>
    <t xml:space="preserve">Processor engaged without Data Processing Agreement</t>
  </si>
  <si>
    <t xml:space="preserve">Regulatory / contractual</t>
  </si>
  <si>
    <t xml:space="preserve">Procurement checklist incomplete</t>
  </si>
  <si>
    <t xml:space="preserve">DPA template created; procurement process updated</t>
  </si>
  <si>
    <t xml:space="preserve">Legal</t>
  </si>
  <si>
    <t xml:space="preserve">PDPPL-003</t>
  </si>
  <si>
    <t xml:space="preserve">R-018</t>
  </si>
  <si>
    <t xml:space="preserve">Legacy Systems</t>
  </si>
  <si>
    <t xml:space="preserve">Weak passwords on legacy systems not enforced by policy</t>
  </si>
  <si>
    <t xml:space="preserve">Brute force</t>
  </si>
  <si>
    <t xml:space="preserve">Technical constraint on legacy</t>
  </si>
  <si>
    <t xml:space="preserve">Legacy exception documented; strong auth planned FY27</t>
  </si>
  <si>
    <t xml:space="preserve">2027-03-31</t>
  </si>
  <si>
    <t xml:space="preserve">LEG-001</t>
  </si>
  <si>
    <t xml:space="preserve">R-019</t>
  </si>
  <si>
    <t xml:space="preserve">Development</t>
  </si>
  <si>
    <t xml:space="preserve">Insecure code pushed to production via SDLC gaps</t>
  </si>
  <si>
    <t xml:space="preserve">Software supply chain</t>
  </si>
  <si>
    <t xml:space="preserve">No SAST in CI/CD until recently</t>
  </si>
  <si>
    <t xml:space="preserve">SAST in CI/CD pipeline; secure code training delivered</t>
  </si>
  <si>
    <t xml:space="preserve">Dev Team</t>
  </si>
  <si>
    <t xml:space="preserve">DEV-001</t>
  </si>
  <si>
    <t xml:space="preserve">R-020</t>
  </si>
  <si>
    <t xml:space="preserve">Backups failing silently without detection</t>
  </si>
  <si>
    <t xml:space="preserve">Operational error</t>
  </si>
  <si>
    <t xml:space="preserve">No automated backup monitoring</t>
  </si>
  <si>
    <t xml:space="preserve">Monthly backup validation; full restore test Q1 2026</t>
  </si>
  <si>
    <t xml:space="preserve">IT Ops</t>
  </si>
  <si>
    <t xml:space="preserve">BCK-002</t>
  </si>
  <si>
    <t xml:space="preserve">R-021</t>
  </si>
  <si>
    <t xml:space="preserve">Change Management</t>
  </si>
  <si>
    <t xml:space="preserve">Unauthorised changes to production systems</t>
  </si>
  <si>
    <t xml:space="preserve">Insider / operational</t>
  </si>
  <si>
    <t xml:space="preserve">No formal CAB process</t>
  </si>
  <si>
    <t xml:space="preserve">CAB process being formalised; change log maintained</t>
  </si>
  <si>
    <t xml:space="preserve">2026-08-31</t>
  </si>
  <si>
    <t xml:space="preserve">CHG-001</t>
  </si>
  <si>
    <t xml:space="preserve">R-022</t>
  </si>
  <si>
    <t xml:space="preserve">All Staff</t>
  </si>
  <si>
    <t xml:space="preserve">Low security awareness increases phishing / social eng. risk</t>
  </si>
  <si>
    <t xml:space="preserve">Annual training not mandatory</t>
  </si>
  <si>
    <t xml:space="preserve">Annual awareness programme; 89% completion; phishing sims</t>
  </si>
  <si>
    <t xml:space="preserve">HR / Compliance</t>
  </si>
  <si>
    <t xml:space="preserve">SA-001</t>
  </si>
  <si>
    <t xml:space="preserve">RESIDUAL RISK HEAT MAP  —  Click the Risk Register tab to update data</t>
  </si>
  <si>
    <t xml:space="preserve">Score = Likelihood × Impact   |   Critical ≥20  |  High ≥15  |  Medium ≥8  |  Low-Med ≥4  |  Low ≤3</t>
  </si>
  <si>
    <t xml:space="preserve">← IMPACT →</t>
  </si>
  <si>
    <t xml:space="preserve">1
Minimal</t>
  </si>
  <si>
    <t xml:space="preserve">2
Minor</t>
  </si>
  <si>
    <t xml:space="preserve">3
Moderate</t>
  </si>
  <si>
    <t xml:space="preserve">4
Major</t>
  </si>
  <si>
    <t xml:space="preserve">5
Critical</t>
  </si>
  <si>
    <t xml:space="preserve">5 — Almost Certain</t>
  </si>
  <si>
    <t xml:space="preserve">5</t>
  </si>
  <si>
    <t xml:space="preserve">10</t>
  </si>
  <si>
    <t xml:space="preserve">15</t>
  </si>
  <si>
    <t xml:space="preserve">20</t>
  </si>
  <si>
    <t xml:space="preserve">25</t>
  </si>
  <si>
    <t xml:space="preserve">4 — Likely</t>
  </si>
  <si>
    <t xml:space="preserve">4</t>
  </si>
  <si>
    <t xml:space="preserve">8</t>
  </si>
  <si>
    <t xml:space="preserve">12</t>
  </si>
  <si>
    <t xml:space="preserve">16</t>
  </si>
  <si>
    <t xml:space="preserve">3 — Possible</t>
  </si>
  <si>
    <t xml:space="preserve">3</t>
  </si>
  <si>
    <t xml:space="preserve">6
(1 risk)</t>
  </si>
  <si>
    <t xml:space="preserve">9
(1 risk)</t>
  </si>
  <si>
    <t xml:space="preserve">12
(1 risk)</t>
  </si>
  <si>
    <t xml:space="preserve">2 — Unlikely</t>
  </si>
  <si>
    <t xml:space="preserve">2
(1 risk)</t>
  </si>
  <si>
    <t xml:space="preserve">4
(2 risks)</t>
  </si>
  <si>
    <t xml:space="preserve">6
(2 risks)</t>
  </si>
  <si>
    <t xml:space="preserve">8
(1 risk)</t>
  </si>
  <si>
    <t xml:space="preserve">1 — Rare</t>
  </si>
  <si>
    <t xml:space="preserve">1
(5 risks)</t>
  </si>
  <si>
    <t xml:space="preserve">2
(5 risks)</t>
  </si>
  <si>
    <t xml:space="preserve">3
(2 risks)</t>
  </si>
  <si>
    <t xml:space="preserve">4
(1 risk)</t>
  </si>
  <si>
    <t xml:space="preserve">LEGEND</t>
  </si>
  <si>
    <t xml:space="preserve">   Critical (20–25)</t>
  </si>
  <si>
    <t xml:space="preserve">   High (15–16)</t>
  </si>
  <si>
    <t xml:space="preserve">   Medium (8–12)</t>
  </si>
  <si>
    <t xml:space="preserve">   Low-Med (4–6)</t>
  </si>
  <si>
    <t xml:space="preserve">   Low (1–3)</t>
  </si>
  <si>
    <t xml:space="preserve">HOW TO USE THIS RISK REGISTER</t>
  </si>
  <si>
    <t xml:space="preserve">PURPOSE</t>
  </si>
  <si>
    <t xml:space="preserve">ISO 27001:2022 Clause 6.1.2 requires a documented risk assessment process. This register captures all identified risks, their scoring, and treatment plans.</t>
  </si>
  <si>
    <t xml:space="preserve">RISK SCORING</t>
  </si>
  <si>
    <t xml:space="preserve">Likelihood × Impact (both 1–5 scale). Score ≥20 = Critical, ≥15 = High, ≥8 = Medium, ≥4 = Low-Med, ≤3 = Low.</t>
  </si>
  <si>
    <t xml:space="preserve">INHERENT RISK</t>
  </si>
  <si>
    <t xml:space="preserve">The raw exposure BEFORE any controls are applied. Represents what the risk would be if no controls existed.</t>
  </si>
  <si>
    <t xml:space="preserve">RESIDUAL RISK</t>
  </si>
  <si>
    <t xml:space="preserve">The exposure AFTER existing controls are applied. This is the current actual risk posture.</t>
  </si>
  <si>
    <t xml:space="preserve">TREATMENT OPTIONS</t>
  </si>
  <si>
    <t xml:space="preserve">Mitigate = implement/improve controls | Accept = formally acknowledge risk | Transfer = cyber insurance, outsource | Avoid = discontinue activity.</t>
  </si>
  <si>
    <t xml:space="preserve">UPDATING SCORES</t>
  </si>
  <si>
    <t xml:space="preserve">Change Inherent Likelihood (Col F) and Impact (Col G), then Residual Likelihood (Col K) and Impact (Col L). Scores and zones calculate automatically.</t>
  </si>
  <si>
    <t xml:space="preserve">RISK ZONES</t>
  </si>
  <si>
    <t xml:space="preserve">Zone labels in Cols I and N auto-calculate and colour-code: Red = High/Critical, Orange = Medium, Blue = Low-Med, Green = Low.</t>
  </si>
  <si>
    <t xml:space="preserve">ADDING RISKS</t>
  </si>
  <si>
    <t xml:space="preserve">Copy row 4 format down. Risk IDs should follow R-XXX format. All dropdown validations copy with the row.</t>
  </si>
  <si>
    <t xml:space="preserve">HEAT MAP</t>
  </si>
  <si>
    <t xml:space="preserve">The Heat Map sheet shows residual risk distribution. It does not auto-update from formulas — refresh counts manually after adding risks.</t>
  </si>
  <si>
    <t xml:space="preserve">ISO 27001 CLAUSE</t>
  </si>
  <si>
    <t xml:space="preserve">This register satisfies: Clause 6.1.2 (risk assessment), Clause 8.2 (risk assessment execution), Clause 8.3 (risk treatment).</t>
  </si>
  <si>
    <t xml:space="preserve">REVIEW FREQUENCY</t>
  </si>
  <si>
    <t xml:space="preserve">Risk register should be reviewed at least annually and following significant changes (Clause 9.3 management review input).</t>
  </si>
  <si>
    <t xml:space="preserve">SoA LINK</t>
  </si>
  <si>
    <t xml:space="preserve">Each risk should map to controls in the Statement of Applicability (SoA). Reference control IDs in the Evidence column.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</si>
</sst>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D6EAF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C28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3A5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1C2833"/>
      </patternFill>
    </fill>
    <fill>
      <patternFill patternType="solid">
        <fgColor rgb="FF1F618D"/>
        <bgColor rgb="FF2980B9"/>
      </patternFill>
    </fill>
    <fill>
      <patternFill patternType="solid">
        <fgColor rgb="FFF2F3F4"/>
        <bgColor rgb="FFFFFFFF"/>
      </patternFill>
    </fill>
    <fill>
      <patternFill patternType="solid">
        <fgColor rgb="FFB7950B"/>
        <bgColor rgb="FFFF9900"/>
      </patternFill>
    </fill>
    <fill>
      <patternFill patternType="solid">
        <fgColor rgb="FFD35400"/>
        <bgColor rgb="FFC0392B"/>
      </patternFill>
    </fill>
    <fill>
      <patternFill patternType="solid">
        <fgColor rgb="FFC0392B"/>
        <bgColor rgb="FFD35400"/>
      </patternFill>
    </fill>
    <fill>
      <patternFill patternType="solid">
        <fgColor rgb="FF7B241C"/>
        <bgColor rgb="FF800000"/>
      </patternFill>
    </fill>
    <fill>
      <patternFill patternType="solid">
        <fgColor rgb="FF1E8449"/>
        <bgColor rgb="FF008000"/>
      </patternFill>
    </fill>
    <fill>
      <patternFill patternType="solid">
        <fgColor rgb="FFD6EAF8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6EAF8"/>
        </patternFill>
      </fill>
    </dxf>
    <dxf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DC3C7"/>
      <rgbColor rgb="FF808080"/>
      <rgbColor rgb="FF9999FF"/>
      <rgbColor rgb="FFC0392B"/>
      <rgbColor rgb="FFFDEBD0"/>
      <rgbColor rgb="FFD6EAF8"/>
      <rgbColor rgb="FF660066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5D6D7E"/>
      <rgbColor rgb="FF969696"/>
      <rgbColor rgb="FF1A3A5C"/>
      <rgbColor rgb="FF27AE60"/>
      <rgbColor rgb="FF003300"/>
      <rgbColor rgb="FF333300"/>
      <rgbColor rgb="FF7B241C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5" min="4" style="0" width="22"/>
    <col collapsed="false" customWidth="true" hidden="false" outlineLevel="0" max="8" min="6" style="0" width="9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3" min="11" style="0" width="9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30" hidden="false" customHeight="true" outlineLevel="0" collapsed="false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4" t="n">
        <v>4</v>
      </c>
      <c r="G4" s="4" t="n">
        <v>5</v>
      </c>
      <c r="H4" s="6" t="n">
        <f aca="false">F4*G4</f>
        <v>20</v>
      </c>
      <c r="I4" s="7" t="str">
        <f aca="false">IF(H4&gt;=20,"Critical",IF(H4&gt;=15,"High",IF(H4&gt;=8,"Medium",IF(H4&gt;=4,"Low-Med","Low"))))</f>
        <v>Critical</v>
      </c>
      <c r="J4" s="5" t="s">
        <v>26</v>
      </c>
      <c r="K4" s="4" t="n">
        <v>3</v>
      </c>
      <c r="L4" s="4" t="n">
        <v>4</v>
      </c>
      <c r="M4" s="6" t="n">
        <f aca="false">K4*L4</f>
        <v>12</v>
      </c>
      <c r="N4" s="7" t="str">
        <f aca="false">IF(M4&gt;=20,"Critical",IF(M4&gt;=15,"High",IF(M4&gt;=8,"Medium",IF(M4&gt;=4,"Low-Med","Low"))))</f>
        <v>Medium</v>
      </c>
      <c r="O4" s="4" t="s">
        <v>27</v>
      </c>
      <c r="P4" s="8" t="s">
        <v>28</v>
      </c>
      <c r="Q4" s="4" t="s">
        <v>29</v>
      </c>
      <c r="R4" s="4" t="s">
        <v>30</v>
      </c>
      <c r="S4" s="5" t="s">
        <v>31</v>
      </c>
    </row>
    <row r="5" customFormat="false" ht="30" hidden="false" customHeight="true" outlineLevel="0" collapsed="false">
      <c r="A5" s="9" t="s">
        <v>32</v>
      </c>
      <c r="B5" s="10" t="s">
        <v>33</v>
      </c>
      <c r="C5" s="10" t="s">
        <v>34</v>
      </c>
      <c r="D5" s="10" t="s">
        <v>35</v>
      </c>
      <c r="E5" s="10" t="s">
        <v>36</v>
      </c>
      <c r="F5" s="9" t="n">
        <v>4</v>
      </c>
      <c r="G5" s="9" t="n">
        <v>4</v>
      </c>
      <c r="H5" s="11" t="n">
        <f aca="false">F5*G5</f>
        <v>16</v>
      </c>
      <c r="I5" s="12" t="str">
        <f aca="false">IF(H5&gt;=20,"Critical",IF(H5&gt;=15,"High",IF(H5&gt;=8,"Medium",IF(H5&gt;=4,"Low-Med","Low"))))</f>
        <v>High</v>
      </c>
      <c r="J5" s="10" t="s">
        <v>37</v>
      </c>
      <c r="K5" s="9" t="n">
        <v>3</v>
      </c>
      <c r="L5" s="9" t="n">
        <v>3</v>
      </c>
      <c r="M5" s="11" t="n">
        <f aca="false">K5*L5</f>
        <v>9</v>
      </c>
      <c r="N5" s="12" t="str">
        <f aca="false">IF(M5&gt;=20,"Critical",IF(M5&gt;=15,"High",IF(M5&gt;=8,"Medium",IF(M5&gt;=4,"Low-Med","Low"))))</f>
        <v>Medium</v>
      </c>
      <c r="O5" s="9" t="s">
        <v>27</v>
      </c>
      <c r="P5" s="13" t="s">
        <v>28</v>
      </c>
      <c r="Q5" s="9" t="s">
        <v>38</v>
      </c>
      <c r="R5" s="9" t="s">
        <v>30</v>
      </c>
      <c r="S5" s="10" t="s">
        <v>39</v>
      </c>
    </row>
    <row r="6" customFormat="false" ht="30" hidden="false" customHeight="true" outlineLevel="0" collapsed="false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4" t="n">
        <v>3</v>
      </c>
      <c r="G6" s="4" t="n">
        <v>5</v>
      </c>
      <c r="H6" s="6" t="n">
        <f aca="false">F6*G6</f>
        <v>15</v>
      </c>
      <c r="I6" s="7" t="str">
        <f aca="false">IF(H6&gt;=20,"Critical",IF(H6&gt;=15,"High",IF(H6&gt;=8,"Medium",IF(H6&gt;=4,"Low-Med","Low"))))</f>
        <v>High</v>
      </c>
      <c r="J6" s="5" t="s">
        <v>45</v>
      </c>
      <c r="K6" s="4" t="n">
        <v>2</v>
      </c>
      <c r="L6" s="4" t="n">
        <v>4</v>
      </c>
      <c r="M6" s="6" t="n">
        <f aca="false">K6*L6</f>
        <v>8</v>
      </c>
      <c r="N6" s="7" t="str">
        <f aca="false">IF(M6&gt;=20,"Critical",IF(M6&gt;=15,"High",IF(M6&gt;=8,"Medium",IF(M6&gt;=4,"Low-Med","Low"))))</f>
        <v>Medium</v>
      </c>
      <c r="O6" s="4" t="s">
        <v>27</v>
      </c>
      <c r="P6" s="8" t="s">
        <v>46</v>
      </c>
      <c r="Q6" s="4" t="s">
        <v>47</v>
      </c>
      <c r="R6" s="4" t="s">
        <v>30</v>
      </c>
      <c r="S6" s="5" t="s">
        <v>48</v>
      </c>
    </row>
    <row r="7" customFormat="false" ht="30" hidden="false" customHeight="true" outlineLevel="0" collapsed="false">
      <c r="A7" s="9" t="s">
        <v>49</v>
      </c>
      <c r="B7" s="10" t="s">
        <v>50</v>
      </c>
      <c r="C7" s="10" t="s">
        <v>51</v>
      </c>
      <c r="D7" s="10" t="s">
        <v>52</v>
      </c>
      <c r="E7" s="10" t="s">
        <v>53</v>
      </c>
      <c r="F7" s="9" t="n">
        <v>3</v>
      </c>
      <c r="G7" s="9" t="n">
        <v>4</v>
      </c>
      <c r="H7" s="11" t="n">
        <f aca="false">F7*G7</f>
        <v>12</v>
      </c>
      <c r="I7" s="12" t="str">
        <f aca="false">IF(H7&gt;=20,"Critical",IF(H7&gt;=15,"High",IF(H7&gt;=8,"Medium",IF(H7&gt;=4,"Low-Med","Low"))))</f>
        <v>Medium</v>
      </c>
      <c r="J7" s="10" t="s">
        <v>54</v>
      </c>
      <c r="K7" s="9" t="n">
        <v>2</v>
      </c>
      <c r="L7" s="9" t="n">
        <v>3</v>
      </c>
      <c r="M7" s="11" t="n">
        <f aca="false">K7*L7</f>
        <v>6</v>
      </c>
      <c r="N7" s="12" t="str">
        <f aca="false">IF(M7&gt;=20,"Critical",IF(M7&gt;=15,"High",IF(M7&gt;=8,"Medium",IF(M7&gt;=4,"Low-Med","Low"))))</f>
        <v>Low-Med</v>
      </c>
      <c r="O7" s="9" t="s">
        <v>27</v>
      </c>
      <c r="P7" s="13" t="s">
        <v>55</v>
      </c>
      <c r="Q7" s="9" t="s">
        <v>38</v>
      </c>
      <c r="R7" s="9" t="s">
        <v>30</v>
      </c>
      <c r="S7" s="10" t="s">
        <v>56</v>
      </c>
    </row>
    <row r="8" customFormat="false" ht="30" hidden="false" customHeight="true" outlineLevel="0" collapsed="false">
      <c r="A8" s="4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4" t="n">
        <v>2</v>
      </c>
      <c r="G8" s="4" t="n">
        <v>5</v>
      </c>
      <c r="H8" s="6" t="n">
        <f aca="false">F8*G8</f>
        <v>10</v>
      </c>
      <c r="I8" s="7" t="str">
        <f aca="false">IF(H8&gt;=20,"Critical",IF(H8&gt;=15,"High",IF(H8&gt;=8,"Medium",IF(H8&gt;=4,"Low-Med","Low"))))</f>
        <v>Medium</v>
      </c>
      <c r="J8" s="5" t="s">
        <v>62</v>
      </c>
      <c r="K8" s="4" t="n">
        <v>1</v>
      </c>
      <c r="L8" s="4" t="n">
        <v>4</v>
      </c>
      <c r="M8" s="6" t="n">
        <f aca="false">K8*L8</f>
        <v>4</v>
      </c>
      <c r="N8" s="7" t="str">
        <f aca="false">IF(M8&gt;=20,"Critical",IF(M8&gt;=15,"High",IF(M8&gt;=8,"Medium",IF(M8&gt;=4,"Low-Med","Low"))))</f>
        <v>Low-Med</v>
      </c>
      <c r="O8" s="4" t="s">
        <v>27</v>
      </c>
      <c r="P8" s="8" t="s">
        <v>63</v>
      </c>
      <c r="Q8" s="4" t="s">
        <v>29</v>
      </c>
      <c r="R8" s="4" t="s">
        <v>64</v>
      </c>
      <c r="S8" s="5" t="s">
        <v>65</v>
      </c>
    </row>
    <row r="9" customFormat="false" ht="30" hidden="false" customHeight="true" outlineLevel="0" collapsed="false">
      <c r="A9" s="9" t="s">
        <v>66</v>
      </c>
      <c r="B9" s="10" t="s">
        <v>67</v>
      </c>
      <c r="C9" s="10" t="s">
        <v>68</v>
      </c>
      <c r="D9" s="10" t="s">
        <v>69</v>
      </c>
      <c r="E9" s="10" t="s">
        <v>70</v>
      </c>
      <c r="F9" s="9" t="n">
        <v>4</v>
      </c>
      <c r="G9" s="9" t="n">
        <v>3</v>
      </c>
      <c r="H9" s="11" t="n">
        <f aca="false">F9*G9</f>
        <v>12</v>
      </c>
      <c r="I9" s="12" t="str">
        <f aca="false">IF(H9&gt;=20,"Critical",IF(H9&gt;=15,"High",IF(H9&gt;=8,"Medium",IF(H9&gt;=4,"Low-Med","Low"))))</f>
        <v>Medium</v>
      </c>
      <c r="J9" s="10" t="s">
        <v>71</v>
      </c>
      <c r="K9" s="9" t="n">
        <v>3</v>
      </c>
      <c r="L9" s="9" t="n">
        <v>2</v>
      </c>
      <c r="M9" s="11" t="n">
        <f aca="false">K9*L9</f>
        <v>6</v>
      </c>
      <c r="N9" s="12" t="str">
        <f aca="false">IF(M9&gt;=20,"Critical",IF(M9&gt;=15,"High",IF(M9&gt;=8,"Medium",IF(M9&gt;=4,"Low-Med","Low"))))</f>
        <v>Low-Med</v>
      </c>
      <c r="O9" s="9" t="s">
        <v>27</v>
      </c>
      <c r="P9" s="13" t="s">
        <v>28</v>
      </c>
      <c r="Q9" s="9" t="s">
        <v>38</v>
      </c>
      <c r="R9" s="9" t="s">
        <v>30</v>
      </c>
      <c r="S9" s="10" t="s">
        <v>72</v>
      </c>
    </row>
    <row r="10" customFormat="false" ht="30" hidden="false" customHeight="true" outlineLevel="0" collapsed="false">
      <c r="A10" s="4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4" t="n">
        <v>3</v>
      </c>
      <c r="G10" s="4" t="n">
        <v>3</v>
      </c>
      <c r="H10" s="6" t="n">
        <f aca="false">F10*G10</f>
        <v>9</v>
      </c>
      <c r="I10" s="7" t="str">
        <f aca="false">IF(H10&gt;=20,"Critical",IF(H10&gt;=15,"High",IF(H10&gt;=8,"Medium",IF(H10&gt;=4,"Low-Med","Low"))))</f>
        <v>Medium</v>
      </c>
      <c r="J10" s="5" t="s">
        <v>78</v>
      </c>
      <c r="K10" s="4" t="n">
        <v>2</v>
      </c>
      <c r="L10" s="4" t="n">
        <v>3</v>
      </c>
      <c r="M10" s="6" t="n">
        <f aca="false">K10*L10</f>
        <v>6</v>
      </c>
      <c r="N10" s="7" t="str">
        <f aca="false">IF(M10&gt;=20,"Critical",IF(M10&gt;=15,"High",IF(M10&gt;=8,"Medium",IF(M10&gt;=4,"Low-Med","Low"))))</f>
        <v>Low-Med</v>
      </c>
      <c r="O10" s="4" t="s">
        <v>27</v>
      </c>
      <c r="P10" s="8" t="s">
        <v>79</v>
      </c>
      <c r="Q10" s="4" t="s">
        <v>47</v>
      </c>
      <c r="R10" s="4" t="s">
        <v>30</v>
      </c>
      <c r="S10" s="5" t="s">
        <v>80</v>
      </c>
    </row>
    <row r="11" customFormat="false" ht="30" hidden="false" customHeight="true" outlineLevel="0" collapsed="false">
      <c r="A11" s="9" t="s">
        <v>81</v>
      </c>
      <c r="B11" s="10" t="s">
        <v>82</v>
      </c>
      <c r="C11" s="10" t="s">
        <v>83</v>
      </c>
      <c r="D11" s="10" t="s">
        <v>84</v>
      </c>
      <c r="E11" s="10" t="s">
        <v>85</v>
      </c>
      <c r="F11" s="9" t="n">
        <v>2</v>
      </c>
      <c r="G11" s="9" t="n">
        <v>4</v>
      </c>
      <c r="H11" s="11" t="n">
        <f aca="false">F11*G11</f>
        <v>8</v>
      </c>
      <c r="I11" s="12" t="str">
        <f aca="false">IF(H11&gt;=20,"Critical",IF(H11&gt;=15,"High",IF(H11&gt;=8,"Medium",IF(H11&gt;=4,"Low-Med","Low"))))</f>
        <v>Medium</v>
      </c>
      <c r="J11" s="10" t="s">
        <v>86</v>
      </c>
      <c r="K11" s="9" t="n">
        <v>1</v>
      </c>
      <c r="L11" s="9" t="n">
        <v>3</v>
      </c>
      <c r="M11" s="11" t="n">
        <f aca="false">K11*L11</f>
        <v>3</v>
      </c>
      <c r="N11" s="12" t="str">
        <f aca="false">IF(M11&gt;=20,"Critical",IF(M11&gt;=15,"High",IF(M11&gt;=8,"Medium",IF(M11&gt;=4,"Low-Med","Low"))))</f>
        <v>Low</v>
      </c>
      <c r="O11" s="9" t="s">
        <v>27</v>
      </c>
      <c r="P11" s="13" t="s">
        <v>87</v>
      </c>
      <c r="Q11" s="9" t="s">
        <v>47</v>
      </c>
      <c r="R11" s="9" t="s">
        <v>88</v>
      </c>
      <c r="S11" s="10" t="s">
        <v>89</v>
      </c>
    </row>
    <row r="12" customFormat="false" ht="30" hidden="false" customHeight="true" outlineLevel="0" collapsed="false">
      <c r="A12" s="4" t="s">
        <v>90</v>
      </c>
      <c r="B12" s="5" t="s">
        <v>91</v>
      </c>
      <c r="C12" s="5" t="s">
        <v>92</v>
      </c>
      <c r="D12" s="5" t="s">
        <v>93</v>
      </c>
      <c r="E12" s="5" t="s">
        <v>94</v>
      </c>
      <c r="F12" s="4" t="n">
        <v>3</v>
      </c>
      <c r="G12" s="4" t="n">
        <v>3</v>
      </c>
      <c r="H12" s="6" t="n">
        <f aca="false">F12*G12</f>
        <v>9</v>
      </c>
      <c r="I12" s="7" t="str">
        <f aca="false">IF(H12&gt;=20,"Critical",IF(H12&gt;=15,"High",IF(H12&gt;=8,"Medium",IF(H12&gt;=4,"Low-Med","Low"))))</f>
        <v>Medium</v>
      </c>
      <c r="J12" s="5" t="s">
        <v>95</v>
      </c>
      <c r="K12" s="4" t="n">
        <v>2</v>
      </c>
      <c r="L12" s="4" t="n">
        <v>2</v>
      </c>
      <c r="M12" s="6" t="n">
        <f aca="false">K12*L12</f>
        <v>4</v>
      </c>
      <c r="N12" s="7" t="str">
        <f aca="false">IF(M12&gt;=20,"Critical",IF(M12&gt;=15,"High",IF(M12&gt;=8,"Medium",IF(M12&gt;=4,"Low-Med","Low"))))</f>
        <v>Low-Med</v>
      </c>
      <c r="O12" s="4" t="s">
        <v>27</v>
      </c>
      <c r="P12" s="8" t="s">
        <v>96</v>
      </c>
      <c r="Q12" s="4" t="s">
        <v>47</v>
      </c>
      <c r="R12" s="4" t="s">
        <v>30</v>
      </c>
      <c r="S12" s="5" t="s">
        <v>97</v>
      </c>
    </row>
    <row r="13" customFormat="false" ht="30" hidden="false" customHeight="true" outlineLevel="0" collapsed="false">
      <c r="A13" s="9" t="s">
        <v>98</v>
      </c>
      <c r="B13" s="10" t="s">
        <v>99</v>
      </c>
      <c r="C13" s="10" t="s">
        <v>100</v>
      </c>
      <c r="D13" s="10" t="s">
        <v>101</v>
      </c>
      <c r="E13" s="10" t="s">
        <v>102</v>
      </c>
      <c r="F13" s="9" t="n">
        <v>2</v>
      </c>
      <c r="G13" s="9" t="n">
        <v>3</v>
      </c>
      <c r="H13" s="11" t="n">
        <f aca="false">F13*G13</f>
        <v>6</v>
      </c>
      <c r="I13" s="12" t="str">
        <f aca="false">IF(H13&gt;=20,"Critical",IF(H13&gt;=15,"High",IF(H13&gt;=8,"Medium",IF(H13&gt;=4,"Low-Med","Low"))))</f>
        <v>Low-Med</v>
      </c>
      <c r="J13" s="10" t="s">
        <v>103</v>
      </c>
      <c r="K13" s="9" t="n">
        <v>1</v>
      </c>
      <c r="L13" s="9" t="n">
        <v>2</v>
      </c>
      <c r="M13" s="11" t="n">
        <f aca="false">K13*L13</f>
        <v>2</v>
      </c>
      <c r="N13" s="12" t="str">
        <f aca="false">IF(M13&gt;=20,"Critical",IF(M13&gt;=15,"High",IF(M13&gt;=8,"Medium",IF(M13&gt;=4,"Low-Med","Low"))))</f>
        <v>Low</v>
      </c>
      <c r="O13" s="9" t="s">
        <v>104</v>
      </c>
      <c r="P13" s="13" t="s">
        <v>28</v>
      </c>
      <c r="Q13" s="9" t="s">
        <v>29</v>
      </c>
      <c r="R13" s="9" t="s">
        <v>88</v>
      </c>
      <c r="S13" s="10" t="s">
        <v>105</v>
      </c>
    </row>
    <row r="14" customFormat="false" ht="30" hidden="false" customHeight="true" outlineLevel="0" collapsed="false">
      <c r="A14" s="4" t="s">
        <v>106</v>
      </c>
      <c r="B14" s="5" t="s">
        <v>107</v>
      </c>
      <c r="C14" s="5" t="s">
        <v>108</v>
      </c>
      <c r="D14" s="5" t="s">
        <v>109</v>
      </c>
      <c r="E14" s="5" t="s">
        <v>110</v>
      </c>
      <c r="F14" s="4" t="n">
        <v>1</v>
      </c>
      <c r="G14" s="4" t="n">
        <v>4</v>
      </c>
      <c r="H14" s="6" t="n">
        <f aca="false">F14*G14</f>
        <v>4</v>
      </c>
      <c r="I14" s="7" t="str">
        <f aca="false">IF(H14&gt;=20,"Critical",IF(H14&gt;=15,"High",IF(H14&gt;=8,"Medium",IF(H14&gt;=4,"Low-Med","Low"))))</f>
        <v>Low-Med</v>
      </c>
      <c r="J14" s="5" t="s">
        <v>111</v>
      </c>
      <c r="K14" s="4" t="n">
        <v>1</v>
      </c>
      <c r="L14" s="4" t="n">
        <v>3</v>
      </c>
      <c r="M14" s="6" t="n">
        <f aca="false">K14*L14</f>
        <v>3</v>
      </c>
      <c r="N14" s="7" t="str">
        <f aca="false">IF(M14&gt;=20,"Critical",IF(M14&gt;=15,"High",IF(M14&gt;=8,"Medium",IF(M14&gt;=4,"Low-Med","Low"))))</f>
        <v>Low</v>
      </c>
      <c r="O14" s="4" t="s">
        <v>112</v>
      </c>
      <c r="P14" s="8" t="s">
        <v>113</v>
      </c>
      <c r="Q14" s="4" t="s">
        <v>114</v>
      </c>
      <c r="R14" s="4" t="s">
        <v>115</v>
      </c>
      <c r="S14" s="5" t="s">
        <v>116</v>
      </c>
    </row>
    <row r="15" customFormat="false" ht="30" hidden="false" customHeight="true" outlineLevel="0" collapsed="false">
      <c r="A15" s="9" t="s">
        <v>117</v>
      </c>
      <c r="B15" s="10" t="s">
        <v>118</v>
      </c>
      <c r="C15" s="10" t="s">
        <v>119</v>
      </c>
      <c r="D15" s="10" t="s">
        <v>120</v>
      </c>
      <c r="E15" s="10" t="s">
        <v>121</v>
      </c>
      <c r="F15" s="9" t="n">
        <v>2</v>
      </c>
      <c r="G15" s="9" t="n">
        <v>2</v>
      </c>
      <c r="H15" s="11" t="n">
        <f aca="false">F15*G15</f>
        <v>4</v>
      </c>
      <c r="I15" s="12" t="str">
        <f aca="false">IF(H15&gt;=20,"Critical",IF(H15&gt;=15,"High",IF(H15&gt;=8,"Medium",IF(H15&gt;=4,"Low-Med","Low"))))</f>
        <v>Low-Med</v>
      </c>
      <c r="J15" s="10" t="s">
        <v>122</v>
      </c>
      <c r="K15" s="9" t="n">
        <v>2</v>
      </c>
      <c r="L15" s="9" t="n">
        <v>2</v>
      </c>
      <c r="M15" s="11" t="n">
        <f aca="false">K15*L15</f>
        <v>4</v>
      </c>
      <c r="N15" s="12" t="str">
        <f aca="false">IF(M15&gt;=20,"Critical",IF(M15&gt;=15,"High",IF(M15&gt;=8,"Medium",IF(M15&gt;=4,"Low-Med","Low"))))</f>
        <v>Low-Med</v>
      </c>
      <c r="O15" s="9" t="s">
        <v>112</v>
      </c>
      <c r="P15" s="13" t="s">
        <v>123</v>
      </c>
      <c r="Q15" s="9" t="s">
        <v>114</v>
      </c>
      <c r="R15" s="9" t="s">
        <v>88</v>
      </c>
      <c r="S15" s="10" t="s">
        <v>124</v>
      </c>
    </row>
    <row r="16" customFormat="false" ht="30" hidden="false" customHeight="true" outlineLevel="0" collapsed="false">
      <c r="A16" s="4" t="s">
        <v>125</v>
      </c>
      <c r="B16" s="5" t="s">
        <v>126</v>
      </c>
      <c r="C16" s="5" t="s">
        <v>127</v>
      </c>
      <c r="D16" s="5" t="s">
        <v>128</v>
      </c>
      <c r="E16" s="5" t="s">
        <v>129</v>
      </c>
      <c r="F16" s="4" t="n">
        <v>2</v>
      </c>
      <c r="G16" s="4" t="n">
        <v>2</v>
      </c>
      <c r="H16" s="6" t="n">
        <f aca="false">F16*G16</f>
        <v>4</v>
      </c>
      <c r="I16" s="7" t="str">
        <f aca="false">IF(H16&gt;=20,"Critical",IF(H16&gt;=15,"High",IF(H16&gt;=8,"Medium",IF(H16&gt;=4,"Low-Med","Low"))))</f>
        <v>Low-Med</v>
      </c>
      <c r="J16" s="5" t="s">
        <v>130</v>
      </c>
      <c r="K16" s="4" t="n">
        <v>1</v>
      </c>
      <c r="L16" s="4" t="n">
        <v>2</v>
      </c>
      <c r="M16" s="6" t="n">
        <f aca="false">K16*L16</f>
        <v>2</v>
      </c>
      <c r="N16" s="7" t="str">
        <f aca="false">IF(M16&gt;=20,"Critical",IF(M16&gt;=15,"High",IF(M16&gt;=8,"Medium",IF(M16&gt;=4,"Low-Med","Low"))))</f>
        <v>Low</v>
      </c>
      <c r="O16" s="4" t="s">
        <v>112</v>
      </c>
      <c r="P16" s="8" t="s">
        <v>46</v>
      </c>
      <c r="Q16" s="4" t="s">
        <v>114</v>
      </c>
      <c r="R16" s="4" t="s">
        <v>88</v>
      </c>
      <c r="S16" s="5" t="s">
        <v>131</v>
      </c>
    </row>
    <row r="17" customFormat="false" ht="30" hidden="false" customHeight="true" outlineLevel="0" collapsed="false">
      <c r="A17" s="9" t="s">
        <v>132</v>
      </c>
      <c r="B17" s="10" t="s">
        <v>133</v>
      </c>
      <c r="C17" s="10" t="s">
        <v>134</v>
      </c>
      <c r="D17" s="10" t="s">
        <v>135</v>
      </c>
      <c r="E17" s="10" t="s">
        <v>136</v>
      </c>
      <c r="F17" s="9" t="n">
        <v>2</v>
      </c>
      <c r="G17" s="9" t="n">
        <v>3</v>
      </c>
      <c r="H17" s="11" t="n">
        <f aca="false">F17*G17</f>
        <v>6</v>
      </c>
      <c r="I17" s="12" t="str">
        <f aca="false">IF(H17&gt;=20,"Critical",IF(H17&gt;=15,"High",IF(H17&gt;=8,"Medium",IF(H17&gt;=4,"Low-Med","Low"))))</f>
        <v>Low-Med</v>
      </c>
      <c r="J17" s="10" t="s">
        <v>137</v>
      </c>
      <c r="K17" s="9" t="n">
        <v>1</v>
      </c>
      <c r="L17" s="9" t="n">
        <v>2</v>
      </c>
      <c r="M17" s="11" t="n">
        <f aca="false">K17*L17</f>
        <v>2</v>
      </c>
      <c r="N17" s="12" t="str">
        <f aca="false">IF(M17&gt;=20,"Critical",IF(M17&gt;=15,"High",IF(M17&gt;=8,"Medium",IF(M17&gt;=4,"Low-Med","Low"))))</f>
        <v>Low</v>
      </c>
      <c r="O17" s="9" t="s">
        <v>104</v>
      </c>
      <c r="P17" s="13" t="s">
        <v>138</v>
      </c>
      <c r="Q17" s="9" t="s">
        <v>114</v>
      </c>
      <c r="R17" s="9" t="s">
        <v>88</v>
      </c>
      <c r="S17" s="10" t="s">
        <v>139</v>
      </c>
    </row>
    <row r="18" customFormat="false" ht="30" hidden="false" customHeight="true" outlineLevel="0" collapsed="false">
      <c r="A18" s="4" t="s">
        <v>140</v>
      </c>
      <c r="B18" s="5" t="s">
        <v>141</v>
      </c>
      <c r="C18" s="5" t="s">
        <v>142</v>
      </c>
      <c r="D18" s="5" t="s">
        <v>143</v>
      </c>
      <c r="E18" s="5" t="s">
        <v>144</v>
      </c>
      <c r="F18" s="4" t="n">
        <v>3</v>
      </c>
      <c r="G18" s="4" t="n">
        <v>2</v>
      </c>
      <c r="H18" s="6" t="n">
        <f aca="false">F18*G18</f>
        <v>6</v>
      </c>
      <c r="I18" s="7" t="str">
        <f aca="false">IF(H18&gt;=20,"Critical",IF(H18&gt;=15,"High",IF(H18&gt;=8,"Medium",IF(H18&gt;=4,"Low-Med","Low"))))</f>
        <v>Low-Med</v>
      </c>
      <c r="J18" s="5" t="s">
        <v>145</v>
      </c>
      <c r="K18" s="4" t="n">
        <v>2</v>
      </c>
      <c r="L18" s="4" t="n">
        <v>1</v>
      </c>
      <c r="M18" s="6" t="n">
        <f aca="false">K18*L18</f>
        <v>2</v>
      </c>
      <c r="N18" s="7" t="str">
        <f aca="false">IF(M18&gt;=20,"Critical",IF(M18&gt;=15,"High",IF(M18&gt;=8,"Medium",IF(M18&gt;=4,"Low-Med","Low"))))</f>
        <v>Low</v>
      </c>
      <c r="O18" s="4" t="s">
        <v>27</v>
      </c>
      <c r="P18" s="8" t="s">
        <v>28</v>
      </c>
      <c r="Q18" s="4" t="s">
        <v>47</v>
      </c>
      <c r="R18" s="4" t="s">
        <v>30</v>
      </c>
      <c r="S18" s="5" t="s">
        <v>146</v>
      </c>
    </row>
    <row r="19" customFormat="false" ht="30" hidden="false" customHeight="true" outlineLevel="0" collapsed="false">
      <c r="A19" s="9" t="s">
        <v>147</v>
      </c>
      <c r="B19" s="10" t="s">
        <v>148</v>
      </c>
      <c r="C19" s="10" t="s">
        <v>149</v>
      </c>
      <c r="D19" s="10" t="s">
        <v>126</v>
      </c>
      <c r="E19" s="10" t="s">
        <v>150</v>
      </c>
      <c r="F19" s="9" t="n">
        <v>2</v>
      </c>
      <c r="G19" s="9" t="n">
        <v>3</v>
      </c>
      <c r="H19" s="11" t="n">
        <f aca="false">F19*G19</f>
        <v>6</v>
      </c>
      <c r="I19" s="12" t="str">
        <f aca="false">IF(H19&gt;=20,"Critical",IF(H19&gt;=15,"High",IF(H19&gt;=8,"Medium",IF(H19&gt;=4,"Low-Med","Low"))))</f>
        <v>Low-Med</v>
      </c>
      <c r="J19" s="10" t="s">
        <v>151</v>
      </c>
      <c r="K19" s="9" t="n">
        <v>1</v>
      </c>
      <c r="L19" s="9" t="n">
        <v>2</v>
      </c>
      <c r="M19" s="11" t="n">
        <f aca="false">K19*L19</f>
        <v>2</v>
      </c>
      <c r="N19" s="12" t="str">
        <f aca="false">IF(M19&gt;=20,"Critical",IF(M19&gt;=15,"High",IF(M19&gt;=8,"Medium",IF(M19&gt;=4,"Low-Med","Low"))))</f>
        <v>Low</v>
      </c>
      <c r="O19" s="9" t="s">
        <v>27</v>
      </c>
      <c r="P19" s="13" t="s">
        <v>152</v>
      </c>
      <c r="Q19" s="9" t="s">
        <v>47</v>
      </c>
      <c r="R19" s="9" t="s">
        <v>30</v>
      </c>
      <c r="S19" s="10" t="s">
        <v>153</v>
      </c>
    </row>
    <row r="20" customFormat="false" ht="30" hidden="false" customHeight="true" outlineLevel="0" collapsed="false">
      <c r="A20" s="4" t="s">
        <v>154</v>
      </c>
      <c r="B20" s="5" t="s">
        <v>155</v>
      </c>
      <c r="C20" s="5" t="s">
        <v>156</v>
      </c>
      <c r="D20" s="5" t="s">
        <v>157</v>
      </c>
      <c r="E20" s="5" t="s">
        <v>158</v>
      </c>
      <c r="F20" s="4" t="n">
        <v>1</v>
      </c>
      <c r="G20" s="4" t="n">
        <v>2</v>
      </c>
      <c r="H20" s="6" t="n">
        <f aca="false">F20*G20</f>
        <v>2</v>
      </c>
      <c r="I20" s="7" t="str">
        <f aca="false">IF(H20&gt;=20,"Critical",IF(H20&gt;=15,"High",IF(H20&gt;=8,"Medium",IF(H20&gt;=4,"Low-Med","Low"))))</f>
        <v>Low</v>
      </c>
      <c r="J20" s="5" t="s">
        <v>159</v>
      </c>
      <c r="K20" s="4" t="n">
        <v>1</v>
      </c>
      <c r="L20" s="4" t="n">
        <v>1</v>
      </c>
      <c r="M20" s="6" t="n">
        <f aca="false">K20*L20</f>
        <v>1</v>
      </c>
      <c r="N20" s="7" t="str">
        <f aca="false">IF(M20&gt;=20,"Critical",IF(M20&gt;=15,"High",IF(M20&gt;=8,"Medium",IF(M20&gt;=4,"Low-Med","Low"))))</f>
        <v>Low</v>
      </c>
      <c r="O20" s="4" t="s">
        <v>27</v>
      </c>
      <c r="P20" s="8" t="s">
        <v>160</v>
      </c>
      <c r="Q20" s="4" t="s">
        <v>38</v>
      </c>
      <c r="R20" s="4" t="s">
        <v>30</v>
      </c>
      <c r="S20" s="5" t="s">
        <v>161</v>
      </c>
    </row>
    <row r="21" customFormat="false" ht="30" hidden="false" customHeight="true" outlineLevel="0" collapsed="false">
      <c r="A21" s="9" t="s">
        <v>162</v>
      </c>
      <c r="B21" s="10" t="s">
        <v>163</v>
      </c>
      <c r="C21" s="10" t="s">
        <v>164</v>
      </c>
      <c r="D21" s="10" t="s">
        <v>165</v>
      </c>
      <c r="E21" s="10" t="s">
        <v>166</v>
      </c>
      <c r="F21" s="9" t="n">
        <v>1</v>
      </c>
      <c r="G21" s="9" t="n">
        <v>1</v>
      </c>
      <c r="H21" s="11" t="n">
        <f aca="false">F21*G21</f>
        <v>1</v>
      </c>
      <c r="I21" s="12" t="str">
        <f aca="false">IF(H21&gt;=20,"Critical",IF(H21&gt;=15,"High",IF(H21&gt;=8,"Medium",IF(H21&gt;=4,"Low-Med","Low"))))</f>
        <v>Low</v>
      </c>
      <c r="J21" s="10" t="s">
        <v>167</v>
      </c>
      <c r="K21" s="9" t="n">
        <v>1</v>
      </c>
      <c r="L21" s="9" t="n">
        <v>1</v>
      </c>
      <c r="M21" s="11" t="n">
        <f aca="false">K21*L21</f>
        <v>1</v>
      </c>
      <c r="N21" s="12" t="str">
        <f aca="false">IF(M21&gt;=20,"Critical",IF(M21&gt;=15,"High",IF(M21&gt;=8,"Medium",IF(M21&gt;=4,"Low-Med","Low"))))</f>
        <v>Low</v>
      </c>
      <c r="O21" s="9" t="s">
        <v>112</v>
      </c>
      <c r="P21" s="13" t="s">
        <v>79</v>
      </c>
      <c r="Q21" s="9" t="s">
        <v>168</v>
      </c>
      <c r="R21" s="9" t="s">
        <v>115</v>
      </c>
      <c r="S21" s="10" t="s">
        <v>169</v>
      </c>
    </row>
    <row r="22" customFormat="false" ht="30" hidden="false" customHeight="true" outlineLevel="0" collapsed="false">
      <c r="A22" s="4" t="s">
        <v>170</v>
      </c>
      <c r="B22" s="5" t="s">
        <v>171</v>
      </c>
      <c r="C22" s="5" t="s">
        <v>172</v>
      </c>
      <c r="D22" s="5" t="s">
        <v>173</v>
      </c>
      <c r="E22" s="5" t="s">
        <v>174</v>
      </c>
      <c r="F22" s="4" t="n">
        <v>2</v>
      </c>
      <c r="G22" s="4" t="n">
        <v>2</v>
      </c>
      <c r="H22" s="6" t="n">
        <f aca="false">F22*G22</f>
        <v>4</v>
      </c>
      <c r="I22" s="7" t="str">
        <f aca="false">IF(H22&gt;=20,"Critical",IF(H22&gt;=15,"High",IF(H22&gt;=8,"Medium",IF(H22&gt;=4,"Low-Med","Low"))))</f>
        <v>Low-Med</v>
      </c>
      <c r="J22" s="5" t="s">
        <v>175</v>
      </c>
      <c r="K22" s="4" t="n">
        <v>1</v>
      </c>
      <c r="L22" s="4" t="n">
        <v>2</v>
      </c>
      <c r="M22" s="6" t="n">
        <f aca="false">K22*L22</f>
        <v>2</v>
      </c>
      <c r="N22" s="7" t="str">
        <f aca="false">IF(M22&gt;=20,"Critical",IF(M22&gt;=15,"High",IF(M22&gt;=8,"Medium",IF(M22&gt;=4,"Low-Med","Low"))))</f>
        <v>Low</v>
      </c>
      <c r="O22" s="4" t="s">
        <v>27</v>
      </c>
      <c r="P22" s="8" t="s">
        <v>176</v>
      </c>
      <c r="Q22" s="4" t="s">
        <v>47</v>
      </c>
      <c r="R22" s="4" t="s">
        <v>30</v>
      </c>
      <c r="S22" s="5" t="s">
        <v>177</v>
      </c>
    </row>
    <row r="23" customFormat="false" ht="30" hidden="false" customHeight="true" outlineLevel="0" collapsed="false">
      <c r="A23" s="9" t="s">
        <v>178</v>
      </c>
      <c r="B23" s="10" t="s">
        <v>118</v>
      </c>
      <c r="C23" s="10" t="s">
        <v>179</v>
      </c>
      <c r="D23" s="10" t="s">
        <v>180</v>
      </c>
      <c r="E23" s="10" t="s">
        <v>181</v>
      </c>
      <c r="F23" s="9" t="n">
        <v>1</v>
      </c>
      <c r="G23" s="9" t="n">
        <v>1</v>
      </c>
      <c r="H23" s="11" t="n">
        <f aca="false">F23*G23</f>
        <v>1</v>
      </c>
      <c r="I23" s="12" t="str">
        <f aca="false">IF(H23&gt;=20,"Critical",IF(H23&gt;=15,"High",IF(H23&gt;=8,"Medium",IF(H23&gt;=4,"Low-Med","Low"))))</f>
        <v>Low</v>
      </c>
      <c r="J23" s="10" t="s">
        <v>182</v>
      </c>
      <c r="K23" s="9" t="n">
        <v>1</v>
      </c>
      <c r="L23" s="9" t="n">
        <v>1</v>
      </c>
      <c r="M23" s="11" t="n">
        <f aca="false">K23*L23</f>
        <v>1</v>
      </c>
      <c r="N23" s="12" t="str">
        <f aca="false">IF(M23&gt;=20,"Critical",IF(M23&gt;=15,"High",IF(M23&gt;=8,"Medium",IF(M23&gt;=4,"Low-Med","Low"))))</f>
        <v>Low</v>
      </c>
      <c r="O23" s="9" t="s">
        <v>112</v>
      </c>
      <c r="P23" s="13" t="s">
        <v>183</v>
      </c>
      <c r="Q23" s="9" t="s">
        <v>114</v>
      </c>
      <c r="R23" s="9" t="s">
        <v>115</v>
      </c>
      <c r="S23" s="10" t="s">
        <v>184</v>
      </c>
    </row>
    <row r="24" customFormat="false" ht="30" hidden="false" customHeight="true" outlineLevel="0" collapsed="false">
      <c r="A24" s="4" t="s">
        <v>185</v>
      </c>
      <c r="B24" s="5" t="s">
        <v>186</v>
      </c>
      <c r="C24" s="5" t="s">
        <v>187</v>
      </c>
      <c r="D24" s="5" t="s">
        <v>188</v>
      </c>
      <c r="E24" s="5" t="s">
        <v>189</v>
      </c>
      <c r="F24" s="4" t="n">
        <v>2</v>
      </c>
      <c r="G24" s="4" t="n">
        <v>2</v>
      </c>
      <c r="H24" s="6" t="n">
        <f aca="false">F24*G24</f>
        <v>4</v>
      </c>
      <c r="I24" s="7" t="str">
        <f aca="false">IF(H24&gt;=20,"Critical",IF(H24&gt;=15,"High",IF(H24&gt;=8,"Medium",IF(H24&gt;=4,"Low-Med","Low"))))</f>
        <v>Low-Med</v>
      </c>
      <c r="J24" s="5" t="s">
        <v>190</v>
      </c>
      <c r="K24" s="4" t="n">
        <v>1</v>
      </c>
      <c r="L24" s="4" t="n">
        <v>1</v>
      </c>
      <c r="M24" s="6" t="n">
        <f aca="false">K24*L24</f>
        <v>1</v>
      </c>
      <c r="N24" s="7" t="str">
        <f aca="false">IF(M24&gt;=20,"Critical",IF(M24&gt;=15,"High",IF(M24&gt;=8,"Medium",IF(M24&gt;=4,"Low-Med","Low"))))</f>
        <v>Low</v>
      </c>
      <c r="O24" s="4" t="s">
        <v>27</v>
      </c>
      <c r="P24" s="8" t="s">
        <v>138</v>
      </c>
      <c r="Q24" s="4" t="s">
        <v>191</v>
      </c>
      <c r="R24" s="4" t="s">
        <v>64</v>
      </c>
      <c r="S24" s="5" t="s">
        <v>192</v>
      </c>
    </row>
    <row r="25" customFormat="false" ht="30" hidden="false" customHeight="true" outlineLevel="0" collapsed="false">
      <c r="A25" s="9" t="s">
        <v>193</v>
      </c>
      <c r="B25" s="10" t="s">
        <v>194</v>
      </c>
      <c r="C25" s="10" t="s">
        <v>195</v>
      </c>
      <c r="D25" s="10" t="s">
        <v>35</v>
      </c>
      <c r="E25" s="10" t="s">
        <v>196</v>
      </c>
      <c r="F25" s="9" t="n">
        <v>1</v>
      </c>
      <c r="G25" s="9" t="n">
        <v>2</v>
      </c>
      <c r="H25" s="11" t="n">
        <f aca="false">F25*G25</f>
        <v>2</v>
      </c>
      <c r="I25" s="12" t="str">
        <f aca="false">IF(H25&gt;=20,"Critical",IF(H25&gt;=15,"High",IF(H25&gt;=8,"Medium",IF(H25&gt;=4,"Low-Med","Low"))))</f>
        <v>Low</v>
      </c>
      <c r="J25" s="10" t="s">
        <v>197</v>
      </c>
      <c r="K25" s="9" t="n">
        <v>1</v>
      </c>
      <c r="L25" s="9" t="n">
        <v>1</v>
      </c>
      <c r="M25" s="11" t="n">
        <f aca="false">K25*L25</f>
        <v>1</v>
      </c>
      <c r="N25" s="12" t="str">
        <f aca="false">IF(M25&gt;=20,"Critical",IF(M25&gt;=15,"High",IF(M25&gt;=8,"Medium",IF(M25&gt;=4,"Low-Med","Low"))))</f>
        <v>Low</v>
      </c>
      <c r="O25" s="9" t="s">
        <v>27</v>
      </c>
      <c r="P25" s="13" t="s">
        <v>198</v>
      </c>
      <c r="Q25" s="9" t="s">
        <v>38</v>
      </c>
      <c r="R25" s="9" t="s">
        <v>30</v>
      </c>
      <c r="S25" s="10" t="s">
        <v>199</v>
      </c>
    </row>
  </sheetData>
  <mergeCells count="2">
    <mergeCell ref="A1:S1"/>
    <mergeCell ref="A2:S2"/>
  </mergeCells>
  <conditionalFormatting sqref="I4:I25">
    <cfRule type="expression" priority="2" aboveAverage="0" equalAverage="0" bottom="0" percent="0" rank="0" text="" dxfId="0">
      <formula>OR(I44="Critical",I44="High")</formula>
    </cfRule>
    <cfRule type="expression" priority="3" aboveAverage="0" equalAverage="0" bottom="0" percent="0" rank="0" text="" dxfId="1">
      <formula>I44="Medium"</formula>
    </cfRule>
    <cfRule type="expression" priority="4" aboveAverage="0" equalAverage="0" bottom="0" percent="0" rank="0" text="" dxfId="2">
      <formula>I44="Low-Med"</formula>
    </cfRule>
    <cfRule type="expression" priority="5" aboveAverage="0" equalAverage="0" bottom="0" percent="0" rank="0" text="" dxfId="3">
      <formula>I44="Low"</formula>
    </cfRule>
  </conditionalFormatting>
  <conditionalFormatting sqref="N4:N25">
    <cfRule type="expression" priority="6" aboveAverage="0" equalAverage="0" bottom="0" percent="0" rank="0" text="" dxfId="0">
      <formula>OR(N44="Critical",N44="High")</formula>
    </cfRule>
    <cfRule type="expression" priority="7" aboveAverage="0" equalAverage="0" bottom="0" percent="0" rank="0" text="" dxfId="1">
      <formula>N44="Medium"</formula>
    </cfRule>
    <cfRule type="expression" priority="8" aboveAverage="0" equalAverage="0" bottom="0" percent="0" rank="0" text="" dxfId="2">
      <formula>N44="Low-Med"</formula>
    </cfRule>
    <cfRule type="expression" priority="9" aboveAverage="0" equalAverage="0" bottom="0" percent="0" rank="0" text="" dxfId="3">
      <formula>N44="Low"</formula>
    </cfRule>
  </conditionalFormatting>
  <dataValidations count="3">
    <dataValidation allowBlank="false" errorStyle="stop" operator="between" showDropDown="false" showErrorMessage="false" showInputMessage="false" sqref="O4:O25" type="list">
      <formula1>"Mitigate,Accept,Transfer,Avoid"</formula1>
      <formula2>0</formula2>
    </dataValidation>
    <dataValidation allowBlank="false" errorStyle="stop" operator="between" showDropDown="false" showErrorMessage="false" showInputMessage="false" sqref="R4:R25" type="list">
      <formula1>"Planned,In Treatment,Monitoring,Accepted,Closed"</formula1>
      <formula2>0</formula2>
    </dataValidation>
    <dataValidation allowBlank="false" errorStyle="stop" operator="between" showDropDown="false" showErrorMessage="false" showInputMessage="false" sqref="F4:G25 K4:L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6" hidden="false" customHeight="true" outlineLevel="0" collapsed="false">
      <c r="A4" s="14" t="s">
        <v>202</v>
      </c>
      <c r="B4" s="14" t="s">
        <v>203</v>
      </c>
      <c r="C4" s="14" t="s">
        <v>204</v>
      </c>
      <c r="D4" s="14" t="s">
        <v>205</v>
      </c>
      <c r="E4" s="14" t="s">
        <v>206</v>
      </c>
      <c r="F4" s="14" t="s">
        <v>207</v>
      </c>
    </row>
    <row r="5" customFormat="false" ht="51.75" hidden="false" customHeight="true" outlineLevel="0" collapsed="false">
      <c r="A5" s="15" t="s">
        <v>208</v>
      </c>
      <c r="B5" s="16" t="s">
        <v>209</v>
      </c>
      <c r="C5" s="17" t="s">
        <v>210</v>
      </c>
      <c r="D5" s="18" t="s">
        <v>211</v>
      </c>
      <c r="E5" s="19" t="s">
        <v>212</v>
      </c>
      <c r="F5" s="19" t="s">
        <v>213</v>
      </c>
    </row>
    <row r="6" customFormat="false" ht="51.75" hidden="false" customHeight="true" outlineLevel="0" collapsed="false">
      <c r="A6" s="15" t="s">
        <v>214</v>
      </c>
      <c r="B6" s="16" t="s">
        <v>215</v>
      </c>
      <c r="C6" s="17" t="s">
        <v>216</v>
      </c>
      <c r="D6" s="17" t="s">
        <v>217</v>
      </c>
      <c r="E6" s="18" t="s">
        <v>218</v>
      </c>
      <c r="F6" s="19" t="s">
        <v>212</v>
      </c>
    </row>
    <row r="7" customFormat="false" ht="51.75" hidden="false" customHeight="true" outlineLevel="0" collapsed="false">
      <c r="A7" s="15" t="s">
        <v>219</v>
      </c>
      <c r="B7" s="20" t="s">
        <v>220</v>
      </c>
      <c r="C7" s="21" t="s">
        <v>221</v>
      </c>
      <c r="D7" s="22" t="s">
        <v>222</v>
      </c>
      <c r="E7" s="22" t="s">
        <v>223</v>
      </c>
      <c r="F7" s="18" t="s">
        <v>211</v>
      </c>
    </row>
    <row r="8" customFormat="false" ht="51.75" hidden="false" customHeight="true" outlineLevel="0" collapsed="false">
      <c r="A8" s="15" t="s">
        <v>224</v>
      </c>
      <c r="B8" s="23" t="s">
        <v>225</v>
      </c>
      <c r="C8" s="21" t="s">
        <v>226</v>
      </c>
      <c r="D8" s="21" t="s">
        <v>227</v>
      </c>
      <c r="E8" s="22" t="s">
        <v>228</v>
      </c>
      <c r="F8" s="17" t="s">
        <v>210</v>
      </c>
    </row>
    <row r="9" customFormat="false" ht="51.75" hidden="false" customHeight="true" outlineLevel="0" collapsed="false">
      <c r="A9" s="15" t="s">
        <v>229</v>
      </c>
      <c r="B9" s="23" t="s">
        <v>230</v>
      </c>
      <c r="C9" s="23" t="s">
        <v>231</v>
      </c>
      <c r="D9" s="23" t="s">
        <v>232</v>
      </c>
      <c r="E9" s="21" t="s">
        <v>233</v>
      </c>
      <c r="F9" s="16" t="s">
        <v>209</v>
      </c>
    </row>
    <row r="11" customFormat="false" ht="15" hidden="false" customHeight="false" outlineLevel="0" collapsed="false">
      <c r="A11" s="24" t="s">
        <v>234</v>
      </c>
      <c r="B11" s="24"/>
      <c r="C11" s="24"/>
      <c r="D11" s="24"/>
      <c r="E11" s="24"/>
      <c r="F11" s="24"/>
    </row>
    <row r="12" customFormat="false" ht="21.75" hidden="false" customHeight="true" outlineLevel="0" collapsed="false">
      <c r="B12" s="25" t="s">
        <v>235</v>
      </c>
    </row>
    <row r="13" customFormat="false" ht="21.75" hidden="false" customHeight="true" outlineLevel="0" collapsed="false">
      <c r="B13" s="26" t="s">
        <v>236</v>
      </c>
    </row>
    <row r="14" customFormat="false" ht="21.75" hidden="false" customHeight="true" outlineLevel="0" collapsed="false">
      <c r="B14" s="27" t="s">
        <v>237</v>
      </c>
    </row>
    <row r="15" customFormat="false" ht="21.75" hidden="false" customHeight="true" outlineLevel="0" collapsed="false">
      <c r="B15" s="28" t="s">
        <v>238</v>
      </c>
    </row>
    <row r="16" customFormat="false" ht="21.75" hidden="false" customHeight="true" outlineLevel="0" collapsed="false">
      <c r="B16" s="29" t="s">
        <v>239</v>
      </c>
    </row>
  </sheetData>
  <mergeCells count="3">
    <mergeCell ref="A1:L1"/>
    <mergeCell ref="A2:L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D7E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240</v>
      </c>
      <c r="B1" s="1"/>
    </row>
    <row r="3" customFormat="false" ht="36" hidden="false" customHeight="true" outlineLevel="0" collapsed="false">
      <c r="A3" s="30" t="s">
        <v>241</v>
      </c>
      <c r="B3" s="10" t="s">
        <v>242</v>
      </c>
    </row>
    <row r="4" customFormat="false" ht="36" hidden="false" customHeight="true" outlineLevel="0" collapsed="false">
      <c r="A4" s="30" t="s">
        <v>243</v>
      </c>
      <c r="B4" s="10" t="s">
        <v>244</v>
      </c>
    </row>
    <row r="5" customFormat="false" ht="36" hidden="false" customHeight="true" outlineLevel="0" collapsed="false">
      <c r="A5" s="30" t="s">
        <v>245</v>
      </c>
      <c r="B5" s="10" t="s">
        <v>246</v>
      </c>
    </row>
    <row r="6" customFormat="false" ht="36" hidden="false" customHeight="true" outlineLevel="0" collapsed="false">
      <c r="A6" s="30" t="s">
        <v>247</v>
      </c>
      <c r="B6" s="10" t="s">
        <v>248</v>
      </c>
    </row>
    <row r="7" customFormat="false" ht="36" hidden="false" customHeight="true" outlineLevel="0" collapsed="false">
      <c r="A7" s="30" t="s">
        <v>249</v>
      </c>
      <c r="B7" s="10" t="s">
        <v>250</v>
      </c>
    </row>
    <row r="8" customFormat="false" ht="36" hidden="false" customHeight="true" outlineLevel="0" collapsed="false">
      <c r="A8" s="30" t="s">
        <v>251</v>
      </c>
      <c r="B8" s="10" t="s">
        <v>252</v>
      </c>
    </row>
    <row r="9" customFormat="false" ht="36" hidden="false" customHeight="true" outlineLevel="0" collapsed="false">
      <c r="A9" s="30" t="s">
        <v>253</v>
      </c>
      <c r="B9" s="10" t="s">
        <v>254</v>
      </c>
    </row>
    <row r="10" customFormat="false" ht="36" hidden="false" customHeight="true" outlineLevel="0" collapsed="false">
      <c r="A10" s="30" t="s">
        <v>255</v>
      </c>
      <c r="B10" s="10" t="s">
        <v>256</v>
      </c>
    </row>
    <row r="11" customFormat="false" ht="36" hidden="false" customHeight="true" outlineLevel="0" collapsed="false">
      <c r="A11" s="30" t="s">
        <v>257</v>
      </c>
      <c r="B11" s="10" t="s">
        <v>258</v>
      </c>
    </row>
    <row r="12" customFormat="false" ht="36" hidden="false" customHeight="true" outlineLevel="0" collapsed="false">
      <c r="A12" s="30" t="s">
        <v>259</v>
      </c>
      <c r="B12" s="10" t="s">
        <v>260</v>
      </c>
    </row>
    <row r="13" customFormat="false" ht="36" hidden="false" customHeight="true" outlineLevel="0" collapsed="false">
      <c r="A13" s="30" t="s">
        <v>261</v>
      </c>
      <c r="B13" s="10" t="s">
        <v>262</v>
      </c>
    </row>
    <row r="14" customFormat="false" ht="36" hidden="false" customHeight="true" outlineLevel="0" collapsed="false">
      <c r="A14" s="30" t="s">
        <v>263</v>
      </c>
      <c r="B14" s="10" t="s">
        <v>264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2026-06-09T08:38:46Z</dcterms:created>
  <dc:creator>openpyxl</dc:creator>
  <dc:description/>
  <dc:language>en-US</dc:language>
  <cp:lastModifiedBy/>
  <dcterms:modified xsi:type="dcterms:W3CDTF">2026-06-09T08:38:46Z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